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vor\Opci\Hidraulika_Davor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calcPr calcId="152511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D11" i="2" s="1"/>
  <c r="E11" i="2" s="1"/>
  <c r="C10" i="2"/>
  <c r="D10" i="2" s="1"/>
  <c r="E10" i="2" s="1"/>
  <c r="C9" i="2"/>
  <c r="D9" i="2" s="1"/>
  <c r="E9" i="2" s="1"/>
  <c r="C8" i="2"/>
  <c r="D8" i="2" s="1"/>
  <c r="E8" i="2" s="1"/>
  <c r="C7" i="2"/>
  <c r="D7" i="2" s="1"/>
  <c r="E7" i="2" s="1"/>
  <c r="C6" i="2"/>
  <c r="D6" i="2" s="1"/>
  <c r="E6" i="2" s="1"/>
  <c r="C5" i="2"/>
  <c r="D5" i="2" s="1"/>
  <c r="E5" i="2" s="1"/>
  <c r="C4" i="2"/>
  <c r="D4" i="2" s="1"/>
  <c r="E4" i="2" s="1"/>
  <c r="C3" i="2"/>
  <c r="D3" i="2" s="1"/>
  <c r="E3" i="2" s="1"/>
  <c r="D181" i="2"/>
  <c r="D180" i="2"/>
  <c r="D179" i="2"/>
  <c r="D178" i="2"/>
  <c r="D177" i="2"/>
  <c r="D176" i="2"/>
  <c r="D175" i="2"/>
  <c r="D174" i="2"/>
  <c r="E174" i="2" s="1"/>
  <c r="D173" i="2"/>
  <c r="D172" i="2"/>
  <c r="D171" i="2"/>
  <c r="D170" i="2"/>
  <c r="D169" i="2"/>
  <c r="D168" i="2"/>
  <c r="D167" i="2"/>
  <c r="D166" i="2"/>
  <c r="E166" i="2" s="1"/>
  <c r="D165" i="2"/>
  <c r="D164" i="2"/>
  <c r="D163" i="2"/>
  <c r="D162" i="2"/>
  <c r="D161" i="2"/>
  <c r="D160" i="2"/>
  <c r="D159" i="2"/>
  <c r="D158" i="2"/>
  <c r="E158" i="2" s="1"/>
  <c r="D157" i="2"/>
  <c r="D156" i="2"/>
  <c r="D155" i="2"/>
  <c r="D154" i="2"/>
  <c r="D153" i="2"/>
  <c r="D152" i="2"/>
  <c r="D151" i="2"/>
  <c r="D150" i="2"/>
  <c r="E150" i="2" s="1"/>
  <c r="D149" i="2"/>
  <c r="D148" i="2"/>
  <c r="D147" i="2"/>
  <c r="D146" i="2"/>
  <c r="D145" i="2"/>
  <c r="D144" i="2"/>
  <c r="D143" i="2"/>
  <c r="D142" i="2"/>
  <c r="E142" i="2" s="1"/>
  <c r="D141" i="2"/>
  <c r="D140" i="2"/>
  <c r="D139" i="2"/>
  <c r="D138" i="2"/>
  <c r="D137" i="2"/>
  <c r="D136" i="2"/>
  <c r="D135" i="2"/>
  <c r="D134" i="2"/>
  <c r="E134" i="2" s="1"/>
  <c r="D133" i="2"/>
  <c r="D132" i="2"/>
  <c r="D131" i="2"/>
  <c r="D130" i="2"/>
  <c r="D129" i="2"/>
  <c r="D128" i="2"/>
  <c r="D127" i="2"/>
  <c r="D126" i="2"/>
  <c r="E126" i="2" s="1"/>
  <c r="D125" i="2"/>
  <c r="D124" i="2"/>
  <c r="D123" i="2"/>
  <c r="D122" i="2"/>
  <c r="D121" i="2"/>
  <c r="D120" i="2"/>
  <c r="D119" i="2"/>
  <c r="D118" i="2"/>
  <c r="E118" i="2" s="1"/>
  <c r="D117" i="2"/>
  <c r="C181" i="2"/>
  <c r="E181" i="2" s="1"/>
  <c r="C180" i="2"/>
  <c r="E180" i="2" s="1"/>
  <c r="C179" i="2"/>
  <c r="E179" i="2" s="1"/>
  <c r="E178" i="2"/>
  <c r="C178" i="2"/>
  <c r="C177" i="2"/>
  <c r="E177" i="2" s="1"/>
  <c r="F177" i="2" s="1"/>
  <c r="C176" i="2"/>
  <c r="E176" i="2" s="1"/>
  <c r="F176" i="2" s="1"/>
  <c r="C175" i="2"/>
  <c r="E175" i="2" s="1"/>
  <c r="G175" i="2" s="1"/>
  <c r="C174" i="2"/>
  <c r="C173" i="2"/>
  <c r="E173" i="2" s="1"/>
  <c r="C172" i="2"/>
  <c r="E172" i="2" s="1"/>
  <c r="C171" i="2"/>
  <c r="E171" i="2" s="1"/>
  <c r="E170" i="2"/>
  <c r="C170" i="2"/>
  <c r="C169" i="2"/>
  <c r="E169" i="2" s="1"/>
  <c r="F169" i="2" s="1"/>
  <c r="H169" i="2" s="1"/>
  <c r="C168" i="2"/>
  <c r="E168" i="2" s="1"/>
  <c r="G168" i="2" s="1"/>
  <c r="F167" i="2"/>
  <c r="E167" i="2"/>
  <c r="G167" i="2" s="1"/>
  <c r="C167" i="2"/>
  <c r="C166" i="2"/>
  <c r="C165" i="2"/>
  <c r="E165" i="2" s="1"/>
  <c r="C164" i="2"/>
  <c r="E164" i="2" s="1"/>
  <c r="C163" i="2"/>
  <c r="E163" i="2" s="1"/>
  <c r="E162" i="2"/>
  <c r="C162" i="2"/>
  <c r="C161" i="2"/>
  <c r="E161" i="2" s="1"/>
  <c r="F161" i="2" s="1"/>
  <c r="H161" i="2" s="1"/>
  <c r="C160" i="2"/>
  <c r="E160" i="2" s="1"/>
  <c r="F160" i="2" s="1"/>
  <c r="E159" i="2"/>
  <c r="G159" i="2" s="1"/>
  <c r="C159" i="2"/>
  <c r="C158" i="2"/>
  <c r="E157" i="2"/>
  <c r="C157" i="2"/>
  <c r="C156" i="2"/>
  <c r="E156" i="2" s="1"/>
  <c r="C155" i="2"/>
  <c r="E155" i="2" s="1"/>
  <c r="E154" i="2"/>
  <c r="C154" i="2"/>
  <c r="C153" i="2"/>
  <c r="E153" i="2" s="1"/>
  <c r="C152" i="2"/>
  <c r="E152" i="2" s="1"/>
  <c r="E151" i="2"/>
  <c r="G151" i="2" s="1"/>
  <c r="C151" i="2"/>
  <c r="C150" i="2"/>
  <c r="E149" i="2"/>
  <c r="C149" i="2"/>
  <c r="C148" i="2"/>
  <c r="E148" i="2" s="1"/>
  <c r="C147" i="2"/>
  <c r="E147" i="2" s="1"/>
  <c r="E146" i="2"/>
  <c r="C146" i="2"/>
  <c r="C145" i="2"/>
  <c r="E145" i="2" s="1"/>
  <c r="F145" i="2" s="1"/>
  <c r="G144" i="2"/>
  <c r="C144" i="2"/>
  <c r="E144" i="2" s="1"/>
  <c r="F144" i="2" s="1"/>
  <c r="E143" i="2"/>
  <c r="C143" i="2"/>
  <c r="C142" i="2"/>
  <c r="E141" i="2"/>
  <c r="C141" i="2"/>
  <c r="C140" i="2"/>
  <c r="E140" i="2" s="1"/>
  <c r="C139" i="2"/>
  <c r="E139" i="2" s="1"/>
  <c r="E138" i="2"/>
  <c r="C138" i="2"/>
  <c r="C137" i="2"/>
  <c r="E137" i="2" s="1"/>
  <c r="F137" i="2" s="1"/>
  <c r="H137" i="2" s="1"/>
  <c r="C136" i="2"/>
  <c r="E136" i="2" s="1"/>
  <c r="G136" i="2" s="1"/>
  <c r="F135" i="2"/>
  <c r="E135" i="2"/>
  <c r="G135" i="2" s="1"/>
  <c r="C135" i="2"/>
  <c r="C134" i="2"/>
  <c r="C133" i="2"/>
  <c r="E133" i="2" s="1"/>
  <c r="C132" i="2"/>
  <c r="E132" i="2" s="1"/>
  <c r="C131" i="2"/>
  <c r="E131" i="2" s="1"/>
  <c r="E130" i="2"/>
  <c r="C130" i="2"/>
  <c r="C129" i="2"/>
  <c r="E129" i="2" s="1"/>
  <c r="F129" i="2" s="1"/>
  <c r="H129" i="2" s="1"/>
  <c r="C128" i="2"/>
  <c r="E128" i="2" s="1"/>
  <c r="F128" i="2" s="1"/>
  <c r="E127" i="2"/>
  <c r="G127" i="2" s="1"/>
  <c r="C127" i="2"/>
  <c r="C126" i="2"/>
  <c r="C125" i="2"/>
  <c r="E125" i="2" s="1"/>
  <c r="F124" i="2"/>
  <c r="C124" i="2"/>
  <c r="E124" i="2" s="1"/>
  <c r="G124" i="2" s="1"/>
  <c r="C123" i="2"/>
  <c r="E123" i="2" s="1"/>
  <c r="E122" i="2"/>
  <c r="C122" i="2"/>
  <c r="C121" i="2"/>
  <c r="E121" i="2" s="1"/>
  <c r="F121" i="2" s="1"/>
  <c r="H121" i="2" s="1"/>
  <c r="C120" i="2"/>
  <c r="E120" i="2" s="1"/>
  <c r="G120" i="2" s="1"/>
  <c r="E119" i="2"/>
  <c r="G119" i="2" s="1"/>
  <c r="C119" i="2"/>
  <c r="C118" i="2"/>
  <c r="C117" i="2"/>
  <c r="C116" i="2"/>
  <c r="D116" i="2" s="1"/>
  <c r="E116" i="2" s="1"/>
  <c r="G116" i="2" s="1"/>
  <c r="E115" i="2"/>
  <c r="C115" i="2"/>
  <c r="D115" i="2" s="1"/>
  <c r="D114" i="2"/>
  <c r="E114" i="2" s="1"/>
  <c r="C114" i="2"/>
  <c r="H113" i="2"/>
  <c r="G113" i="2"/>
  <c r="D113" i="2"/>
  <c r="E113" i="2" s="1"/>
  <c r="F113" i="2" s="1"/>
  <c r="C113" i="2"/>
  <c r="G112" i="2"/>
  <c r="C112" i="2"/>
  <c r="D112" i="2" s="1"/>
  <c r="E112" i="2" s="1"/>
  <c r="F112" i="2" s="1"/>
  <c r="E111" i="2"/>
  <c r="D111" i="2"/>
  <c r="C111" i="2"/>
  <c r="E110" i="2"/>
  <c r="D110" i="2"/>
  <c r="C110" i="2"/>
  <c r="C109" i="2"/>
  <c r="D109" i="2" s="1"/>
  <c r="E109" i="2" s="1"/>
  <c r="G108" i="2"/>
  <c r="F108" i="2"/>
  <c r="C108" i="2"/>
  <c r="D108" i="2" s="1"/>
  <c r="E108" i="2" s="1"/>
  <c r="F107" i="2"/>
  <c r="E107" i="2"/>
  <c r="G107" i="2" s="1"/>
  <c r="C107" i="2"/>
  <c r="D107" i="2" s="1"/>
  <c r="E106" i="2"/>
  <c r="D106" i="2"/>
  <c r="C106" i="2"/>
  <c r="C105" i="2"/>
  <c r="D105" i="2" s="1"/>
  <c r="E105" i="2" s="1"/>
  <c r="G104" i="2"/>
  <c r="F104" i="2"/>
  <c r="C104" i="2"/>
  <c r="D104" i="2" s="1"/>
  <c r="E104" i="2" s="1"/>
  <c r="F103" i="2"/>
  <c r="E103" i="2"/>
  <c r="G103" i="2" s="1"/>
  <c r="D103" i="2"/>
  <c r="C103" i="2"/>
  <c r="D102" i="2"/>
  <c r="E102" i="2" s="1"/>
  <c r="C102" i="2"/>
  <c r="D101" i="2"/>
  <c r="E101" i="2" s="1"/>
  <c r="C101" i="2"/>
  <c r="C100" i="2"/>
  <c r="D100" i="2" s="1"/>
  <c r="E100" i="2" s="1"/>
  <c r="G100" i="2" s="1"/>
  <c r="C99" i="2"/>
  <c r="D99" i="2" s="1"/>
  <c r="E99" i="2" s="1"/>
  <c r="D98" i="2"/>
  <c r="E98" i="2" s="1"/>
  <c r="C98" i="2"/>
  <c r="D97" i="2"/>
  <c r="E97" i="2" s="1"/>
  <c r="C97" i="2"/>
  <c r="C96" i="2"/>
  <c r="D96" i="2" s="1"/>
  <c r="E96" i="2" s="1"/>
  <c r="G96" i="2" s="1"/>
  <c r="I95" i="2"/>
  <c r="F95" i="2"/>
  <c r="H95" i="2" s="1"/>
  <c r="E95" i="2"/>
  <c r="G95" i="2" s="1"/>
  <c r="D95" i="2"/>
  <c r="C95" i="2"/>
  <c r="D94" i="2"/>
  <c r="E94" i="2" s="1"/>
  <c r="C94" i="2"/>
  <c r="G93" i="2"/>
  <c r="C93" i="2"/>
  <c r="D93" i="2" s="1"/>
  <c r="E93" i="2" s="1"/>
  <c r="F93" i="2" s="1"/>
  <c r="C92" i="2"/>
  <c r="D92" i="2" s="1"/>
  <c r="E92" i="2" s="1"/>
  <c r="E91" i="2"/>
  <c r="C91" i="2"/>
  <c r="D91" i="2" s="1"/>
  <c r="D90" i="2"/>
  <c r="E90" i="2" s="1"/>
  <c r="C90" i="2"/>
  <c r="G89" i="2"/>
  <c r="C89" i="2"/>
  <c r="D89" i="2" s="1"/>
  <c r="E89" i="2" s="1"/>
  <c r="F89" i="2" s="1"/>
  <c r="C88" i="2"/>
  <c r="D88" i="2" s="1"/>
  <c r="E88" i="2" s="1"/>
  <c r="E87" i="2"/>
  <c r="D87" i="2"/>
  <c r="C87" i="2"/>
  <c r="E86" i="2"/>
  <c r="D86" i="2"/>
  <c r="C86" i="2"/>
  <c r="H85" i="2"/>
  <c r="D85" i="2"/>
  <c r="E85" i="2" s="1"/>
  <c r="F85" i="2" s="1"/>
  <c r="C85" i="2"/>
  <c r="G84" i="2"/>
  <c r="I84" i="2" s="1"/>
  <c r="F84" i="2"/>
  <c r="H84" i="2" s="1"/>
  <c r="C84" i="2"/>
  <c r="D84" i="2" s="1"/>
  <c r="E84" i="2" s="1"/>
  <c r="C83" i="2"/>
  <c r="D83" i="2" s="1"/>
  <c r="E83" i="2" s="1"/>
  <c r="E82" i="2"/>
  <c r="D82" i="2"/>
  <c r="C82" i="2"/>
  <c r="G81" i="2"/>
  <c r="F81" i="2"/>
  <c r="D81" i="2"/>
  <c r="E81" i="2" s="1"/>
  <c r="C81" i="2"/>
  <c r="G80" i="2"/>
  <c r="E80" i="2"/>
  <c r="F80" i="2" s="1"/>
  <c r="C80" i="2"/>
  <c r="D80" i="2" s="1"/>
  <c r="F79" i="2"/>
  <c r="E79" i="2"/>
  <c r="G79" i="2" s="1"/>
  <c r="D79" i="2"/>
  <c r="C79" i="2"/>
  <c r="D78" i="2"/>
  <c r="E78" i="2" s="1"/>
  <c r="C78" i="2"/>
  <c r="D77" i="2"/>
  <c r="E77" i="2" s="1"/>
  <c r="F77" i="2" s="1"/>
  <c r="C77" i="2"/>
  <c r="G76" i="2"/>
  <c r="C76" i="2"/>
  <c r="D76" i="2" s="1"/>
  <c r="E76" i="2" s="1"/>
  <c r="F76" i="2" s="1"/>
  <c r="C75" i="2"/>
  <c r="D75" i="2" s="1"/>
  <c r="E75" i="2" s="1"/>
  <c r="G74" i="2"/>
  <c r="D74" i="2"/>
  <c r="E74" i="2" s="1"/>
  <c r="F74" i="2" s="1"/>
  <c r="C74" i="2"/>
  <c r="D73" i="2"/>
  <c r="E73" i="2" s="1"/>
  <c r="C73" i="2"/>
  <c r="E72" i="2"/>
  <c r="C72" i="2"/>
  <c r="D72" i="2" s="1"/>
  <c r="G71" i="2"/>
  <c r="E71" i="2"/>
  <c r="F71" i="2" s="1"/>
  <c r="D71" i="2"/>
  <c r="C71" i="2"/>
  <c r="C70" i="2"/>
  <c r="D70" i="2" s="1"/>
  <c r="E70" i="2" s="1"/>
  <c r="E69" i="2"/>
  <c r="D69" i="2"/>
  <c r="C69" i="2"/>
  <c r="D68" i="2"/>
  <c r="E68" i="2" s="1"/>
  <c r="C68" i="2"/>
  <c r="C67" i="2"/>
  <c r="D67" i="2" s="1"/>
  <c r="E67" i="2" s="1"/>
  <c r="C66" i="2"/>
  <c r="D66" i="2" s="1"/>
  <c r="E66" i="2" s="1"/>
  <c r="F66" i="2" s="1"/>
  <c r="D65" i="2"/>
  <c r="E65" i="2" s="1"/>
  <c r="G65" i="2" s="1"/>
  <c r="C65" i="2"/>
  <c r="C64" i="2"/>
  <c r="D64" i="2" s="1"/>
  <c r="E64" i="2" s="1"/>
  <c r="G63" i="2"/>
  <c r="D63" i="2"/>
  <c r="E63" i="2" s="1"/>
  <c r="F63" i="2" s="1"/>
  <c r="C63" i="2"/>
  <c r="F62" i="2"/>
  <c r="C62" i="2"/>
  <c r="D62" i="2" s="1"/>
  <c r="E62" i="2" s="1"/>
  <c r="G62" i="2" s="1"/>
  <c r="E61" i="2"/>
  <c r="D61" i="2"/>
  <c r="C61" i="2"/>
  <c r="D60" i="2"/>
  <c r="E60" i="2" s="1"/>
  <c r="C60" i="2"/>
  <c r="C59" i="2"/>
  <c r="D59" i="2" s="1"/>
  <c r="E59" i="2" s="1"/>
  <c r="C58" i="2"/>
  <c r="D58" i="2" s="1"/>
  <c r="E58" i="2" s="1"/>
  <c r="F58" i="2" s="1"/>
  <c r="F57" i="2"/>
  <c r="H57" i="2" s="1"/>
  <c r="D57" i="2"/>
  <c r="E57" i="2" s="1"/>
  <c r="G57" i="2" s="1"/>
  <c r="C57" i="2"/>
  <c r="C56" i="2"/>
  <c r="D56" i="2" s="1"/>
  <c r="E56" i="2" s="1"/>
  <c r="D55" i="2"/>
  <c r="E55" i="2" s="1"/>
  <c r="F55" i="2" s="1"/>
  <c r="C55" i="2"/>
  <c r="F54" i="2"/>
  <c r="C54" i="2"/>
  <c r="D54" i="2" s="1"/>
  <c r="E54" i="2" s="1"/>
  <c r="G54" i="2" s="1"/>
  <c r="F53" i="2"/>
  <c r="E53" i="2"/>
  <c r="G53" i="2" s="1"/>
  <c r="D53" i="2"/>
  <c r="C53" i="2"/>
  <c r="E52" i="2"/>
  <c r="D52" i="2"/>
  <c r="C52" i="2"/>
  <c r="C51" i="2"/>
  <c r="D51" i="2" s="1"/>
  <c r="E51" i="2" s="1"/>
  <c r="C50" i="2"/>
  <c r="D50" i="2" s="1"/>
  <c r="E50" i="2" s="1"/>
  <c r="F50" i="2" s="1"/>
  <c r="I49" i="2"/>
  <c r="F49" i="2"/>
  <c r="H49" i="2" s="1"/>
  <c r="D49" i="2"/>
  <c r="E49" i="2" s="1"/>
  <c r="G49" i="2" s="1"/>
  <c r="C49" i="2"/>
  <c r="C48" i="2"/>
  <c r="D48" i="2" s="1"/>
  <c r="E48" i="2" s="1"/>
  <c r="H47" i="2"/>
  <c r="G47" i="2"/>
  <c r="D47" i="2"/>
  <c r="E47" i="2" s="1"/>
  <c r="F47" i="2" s="1"/>
  <c r="C47" i="2"/>
  <c r="C46" i="2"/>
  <c r="D46" i="2" s="1"/>
  <c r="E46" i="2" s="1"/>
  <c r="G46" i="2" s="1"/>
  <c r="E45" i="2"/>
  <c r="G45" i="2" s="1"/>
  <c r="D45" i="2"/>
  <c r="C45" i="2"/>
  <c r="D44" i="2"/>
  <c r="E44" i="2" s="1"/>
  <c r="C44" i="2"/>
  <c r="D43" i="2"/>
  <c r="E43" i="2" s="1"/>
  <c r="C43" i="2"/>
  <c r="C42" i="2"/>
  <c r="D42" i="2" s="1"/>
  <c r="E42" i="2" s="1"/>
  <c r="F42" i="2" s="1"/>
  <c r="D41" i="2"/>
  <c r="E41" i="2" s="1"/>
  <c r="G41" i="2" s="1"/>
  <c r="C41" i="2"/>
  <c r="C40" i="2"/>
  <c r="D40" i="2" s="1"/>
  <c r="E40" i="2" s="1"/>
  <c r="D39" i="2"/>
  <c r="E39" i="2" s="1"/>
  <c r="F39" i="2" s="1"/>
  <c r="C39" i="2"/>
  <c r="G38" i="2"/>
  <c r="F38" i="2"/>
  <c r="C38" i="2"/>
  <c r="D38" i="2" s="1"/>
  <c r="E38" i="2" s="1"/>
  <c r="E37" i="2"/>
  <c r="G37" i="2" s="1"/>
  <c r="D37" i="2"/>
  <c r="C37" i="2"/>
  <c r="D36" i="2"/>
  <c r="E36" i="2" s="1"/>
  <c r="C36" i="2"/>
  <c r="C35" i="2"/>
  <c r="D35" i="2" s="1"/>
  <c r="E35" i="2" s="1"/>
  <c r="E34" i="2"/>
  <c r="F34" i="2" s="1"/>
  <c r="H34" i="2" s="1"/>
  <c r="C34" i="2"/>
  <c r="D34" i="2" s="1"/>
  <c r="D33" i="2"/>
  <c r="E33" i="2" s="1"/>
  <c r="G33" i="2" s="1"/>
  <c r="C33" i="2"/>
  <c r="C32" i="2"/>
  <c r="D32" i="2" s="1"/>
  <c r="E32" i="2" s="1"/>
  <c r="H31" i="2"/>
  <c r="G31" i="2"/>
  <c r="F31" i="2"/>
  <c r="D31" i="2"/>
  <c r="E31" i="2" s="1"/>
  <c r="C31" i="2"/>
  <c r="C30" i="2"/>
  <c r="D30" i="2" s="1"/>
  <c r="E30" i="2" s="1"/>
  <c r="E29" i="2"/>
  <c r="G29" i="2" s="1"/>
  <c r="D29" i="2"/>
  <c r="C29" i="2"/>
  <c r="E28" i="2"/>
  <c r="F28" i="2" s="1"/>
  <c r="H28" i="2" s="1"/>
  <c r="D28" i="2"/>
  <c r="C28" i="2"/>
  <c r="C27" i="2"/>
  <c r="D27" i="2" s="1"/>
  <c r="E27" i="2" s="1"/>
  <c r="G26" i="2"/>
  <c r="I26" i="2" s="1"/>
  <c r="E26" i="2"/>
  <c r="F26" i="2" s="1"/>
  <c r="H26" i="2" s="1"/>
  <c r="C26" i="2"/>
  <c r="D26" i="2" s="1"/>
  <c r="D25" i="2"/>
  <c r="E25" i="2" s="1"/>
  <c r="G25" i="2" s="1"/>
  <c r="C25" i="2"/>
  <c r="H24" i="2"/>
  <c r="E24" i="2"/>
  <c r="F24" i="2" s="1"/>
  <c r="C24" i="2"/>
  <c r="D24" i="2" s="1"/>
  <c r="D23" i="2"/>
  <c r="E23" i="2" s="1"/>
  <c r="F23" i="2" s="1"/>
  <c r="C23" i="2"/>
  <c r="C22" i="2"/>
  <c r="D22" i="2" s="1"/>
  <c r="E22" i="2" s="1"/>
  <c r="F21" i="2"/>
  <c r="I21" i="2" s="1"/>
  <c r="E21" i="2"/>
  <c r="G21" i="2" s="1"/>
  <c r="D21" i="2"/>
  <c r="C21" i="2"/>
  <c r="C20" i="2"/>
  <c r="D20" i="2" s="1"/>
  <c r="E20" i="2" s="1"/>
  <c r="D19" i="2"/>
  <c r="E19" i="2" s="1"/>
  <c r="G19" i="2" s="1"/>
  <c r="C19" i="2"/>
  <c r="C18" i="2"/>
  <c r="D18" i="2" s="1"/>
  <c r="E18" i="2" s="1"/>
  <c r="I17" i="2"/>
  <c r="F17" i="2"/>
  <c r="H17" i="2" s="1"/>
  <c r="D17" i="2"/>
  <c r="E17" i="2" s="1"/>
  <c r="G17" i="2" s="1"/>
  <c r="C17" i="2"/>
  <c r="C16" i="2"/>
  <c r="D16" i="2" s="1"/>
  <c r="E16" i="2" s="1"/>
  <c r="C15" i="2"/>
  <c r="D15" i="2" s="1"/>
  <c r="E15" i="2" s="1"/>
  <c r="G15" i="2" s="1"/>
  <c r="C14" i="2"/>
  <c r="D14" i="2" s="1"/>
  <c r="E14" i="2" s="1"/>
  <c r="D13" i="2"/>
  <c r="E13" i="2" s="1"/>
  <c r="C13" i="2"/>
  <c r="C12" i="2"/>
  <c r="D12" i="2" s="1"/>
  <c r="E12" i="2" s="1"/>
  <c r="C2" i="2"/>
  <c r="D2" i="2" s="1"/>
  <c r="E2" i="2" s="1"/>
  <c r="F2" i="2" s="1"/>
  <c r="H2" i="2" s="1"/>
  <c r="F16" i="2" l="1"/>
  <c r="G16" i="2"/>
  <c r="F14" i="2"/>
  <c r="G14" i="2"/>
  <c r="F6" i="2"/>
  <c r="G6" i="2"/>
  <c r="G5" i="2"/>
  <c r="F5" i="2"/>
  <c r="G7" i="2"/>
  <c r="F7" i="2"/>
  <c r="F8" i="2"/>
  <c r="G8" i="2"/>
  <c r="G9" i="2"/>
  <c r="F9" i="2"/>
  <c r="G3" i="2"/>
  <c r="F3" i="2"/>
  <c r="G10" i="2"/>
  <c r="F10" i="2"/>
  <c r="G4" i="2"/>
  <c r="F4" i="2"/>
  <c r="G11" i="2"/>
  <c r="F11" i="2"/>
  <c r="F119" i="2"/>
  <c r="G145" i="2"/>
  <c r="G160" i="2"/>
  <c r="G169" i="2"/>
  <c r="G128" i="2"/>
  <c r="G137" i="2"/>
  <c r="I137" i="2" s="1"/>
  <c r="G161" i="2"/>
  <c r="I161" i="2" s="1"/>
  <c r="F175" i="2"/>
  <c r="G129" i="2"/>
  <c r="I129" i="2" s="1"/>
  <c r="G121" i="2"/>
  <c r="G176" i="2"/>
  <c r="E117" i="2"/>
  <c r="F117" i="2" s="1"/>
  <c r="G13" i="2"/>
  <c r="F13" i="2"/>
  <c r="I23" i="2"/>
  <c r="H23" i="2"/>
  <c r="G64" i="2"/>
  <c r="F64" i="2"/>
  <c r="G27" i="2"/>
  <c r="F27" i="2"/>
  <c r="H14" i="2"/>
  <c r="I14" i="2"/>
  <c r="G70" i="2"/>
  <c r="F70" i="2"/>
  <c r="G30" i="2"/>
  <c r="F30" i="2"/>
  <c r="F20" i="2"/>
  <c r="G20" i="2"/>
  <c r="G35" i="2"/>
  <c r="F35" i="2"/>
  <c r="G51" i="2"/>
  <c r="F51" i="2"/>
  <c r="G56" i="2"/>
  <c r="F56" i="2"/>
  <c r="F36" i="2"/>
  <c r="G36" i="2"/>
  <c r="G44" i="2"/>
  <c r="F44" i="2"/>
  <c r="F12" i="2"/>
  <c r="G12" i="2"/>
  <c r="F18" i="2"/>
  <c r="G18" i="2"/>
  <c r="G22" i="2"/>
  <c r="F22" i="2"/>
  <c r="F32" i="2"/>
  <c r="G32" i="2"/>
  <c r="G40" i="2"/>
  <c r="F40" i="2"/>
  <c r="G48" i="2"/>
  <c r="F48" i="2"/>
  <c r="G43" i="2"/>
  <c r="F43" i="2"/>
  <c r="G52" i="2"/>
  <c r="F52" i="2"/>
  <c r="G78" i="2"/>
  <c r="F78" i="2"/>
  <c r="F122" i="2"/>
  <c r="G122" i="2"/>
  <c r="F138" i="2"/>
  <c r="G138" i="2"/>
  <c r="F170" i="2"/>
  <c r="G170" i="2"/>
  <c r="H21" i="2"/>
  <c r="H55" i="2"/>
  <c r="I57" i="2"/>
  <c r="F69" i="2"/>
  <c r="G69" i="2"/>
  <c r="F97" i="2"/>
  <c r="G97" i="2"/>
  <c r="G23" i="2"/>
  <c r="G50" i="2"/>
  <c r="I50" i="2" s="1"/>
  <c r="G55" i="2"/>
  <c r="I55" i="2" s="1"/>
  <c r="H58" i="2"/>
  <c r="G67" i="2"/>
  <c r="F67" i="2"/>
  <c r="G72" i="2"/>
  <c r="F72" i="2"/>
  <c r="H76" i="2"/>
  <c r="I76" i="2"/>
  <c r="I81" i="2"/>
  <c r="H81" i="2"/>
  <c r="G86" i="2"/>
  <c r="F86" i="2"/>
  <c r="F90" i="2"/>
  <c r="G90" i="2"/>
  <c r="G102" i="2"/>
  <c r="F102" i="2"/>
  <c r="F105" i="2"/>
  <c r="G105" i="2"/>
  <c r="H107" i="2"/>
  <c r="I107" i="2"/>
  <c r="G140" i="2"/>
  <c r="F140" i="2"/>
  <c r="G163" i="2"/>
  <c r="F163" i="2"/>
  <c r="I167" i="2"/>
  <c r="H167" i="2"/>
  <c r="G172" i="2"/>
  <c r="F172" i="2"/>
  <c r="H50" i="2"/>
  <c r="G66" i="2"/>
  <c r="I66" i="2" s="1"/>
  <c r="G94" i="2"/>
  <c r="F94" i="2"/>
  <c r="G123" i="2"/>
  <c r="F123" i="2"/>
  <c r="F15" i="2"/>
  <c r="F25" i="2"/>
  <c r="G39" i="2"/>
  <c r="I39" i="2" s="1"/>
  <c r="F41" i="2"/>
  <c r="F46" i="2"/>
  <c r="G58" i="2"/>
  <c r="I58" i="2" s="1"/>
  <c r="G61" i="2"/>
  <c r="F61" i="2"/>
  <c r="F98" i="2"/>
  <c r="G98" i="2"/>
  <c r="G131" i="2"/>
  <c r="F131" i="2"/>
  <c r="I135" i="2"/>
  <c r="H135" i="2"/>
  <c r="I144" i="2"/>
  <c r="H144" i="2"/>
  <c r="I160" i="2"/>
  <c r="H160" i="2"/>
  <c r="G173" i="2"/>
  <c r="F173" i="2"/>
  <c r="F101" i="2"/>
  <c r="G101" i="2"/>
  <c r="G28" i="2"/>
  <c r="I28" i="2" s="1"/>
  <c r="F33" i="2"/>
  <c r="G75" i="2"/>
  <c r="F75" i="2"/>
  <c r="G115" i="2"/>
  <c r="F115" i="2"/>
  <c r="G143" i="2"/>
  <c r="F143" i="2"/>
  <c r="F37" i="2"/>
  <c r="H39" i="2"/>
  <c r="G59" i="2"/>
  <c r="F59" i="2"/>
  <c r="G73" i="2"/>
  <c r="F73" i="2"/>
  <c r="H79" i="2"/>
  <c r="I79" i="2"/>
  <c r="G91" i="2"/>
  <c r="F91" i="2"/>
  <c r="G99" i="2"/>
  <c r="F99" i="2"/>
  <c r="I128" i="2"/>
  <c r="H128" i="2"/>
  <c r="G152" i="2"/>
  <c r="F152" i="2"/>
  <c r="G165" i="2"/>
  <c r="F165" i="2"/>
  <c r="F178" i="2"/>
  <c r="G178" i="2"/>
  <c r="H66" i="2"/>
  <c r="H42" i="2"/>
  <c r="I62" i="2"/>
  <c r="H62" i="2"/>
  <c r="G68" i="2"/>
  <c r="F68" i="2"/>
  <c r="H77" i="2"/>
  <c r="G92" i="2"/>
  <c r="F92" i="2"/>
  <c r="G118" i="2"/>
  <c r="F118" i="2"/>
  <c r="F125" i="2"/>
  <c r="G125" i="2"/>
  <c r="G133" i="2"/>
  <c r="F133" i="2"/>
  <c r="G149" i="2"/>
  <c r="F149" i="2"/>
  <c r="F153" i="2"/>
  <c r="G153" i="2"/>
  <c r="G174" i="2"/>
  <c r="F174" i="2"/>
  <c r="G179" i="2"/>
  <c r="F179" i="2"/>
  <c r="G83" i="2"/>
  <c r="F83" i="2"/>
  <c r="G126" i="2"/>
  <c r="F126" i="2"/>
  <c r="G150" i="2"/>
  <c r="F150" i="2"/>
  <c r="I176" i="2"/>
  <c r="H176" i="2"/>
  <c r="F45" i="2"/>
  <c r="I53" i="2"/>
  <c r="H53" i="2"/>
  <c r="G87" i="2"/>
  <c r="F87" i="2"/>
  <c r="G2" i="2"/>
  <c r="I2" i="2" s="1"/>
  <c r="F19" i="2"/>
  <c r="G24" i="2"/>
  <c r="I24" i="2" s="1"/>
  <c r="F29" i="2"/>
  <c r="G34" i="2"/>
  <c r="I34" i="2" s="1"/>
  <c r="G42" i="2"/>
  <c r="I42" i="2" s="1"/>
  <c r="I47" i="2"/>
  <c r="F65" i="2"/>
  <c r="G77" i="2"/>
  <c r="I77" i="2" s="1"/>
  <c r="I80" i="2"/>
  <c r="H80" i="2"/>
  <c r="F82" i="2"/>
  <c r="G82" i="2"/>
  <c r="G88" i="2"/>
  <c r="F88" i="2"/>
  <c r="I93" i="2"/>
  <c r="H93" i="2"/>
  <c r="H103" i="2"/>
  <c r="I103" i="2"/>
  <c r="F109" i="2"/>
  <c r="G109" i="2"/>
  <c r="G111" i="2"/>
  <c r="F111" i="2"/>
  <c r="F114" i="2"/>
  <c r="G114" i="2"/>
  <c r="G142" i="2"/>
  <c r="F142" i="2"/>
  <c r="G166" i="2"/>
  <c r="F166" i="2"/>
  <c r="I31" i="2"/>
  <c r="I38" i="2"/>
  <c r="H38" i="2"/>
  <c r="I54" i="2"/>
  <c r="H54" i="2"/>
  <c r="G60" i="2"/>
  <c r="F60" i="2"/>
  <c r="I63" i="2"/>
  <c r="H63" i="2"/>
  <c r="H71" i="2"/>
  <c r="I71" i="2"/>
  <c r="I74" i="2"/>
  <c r="H74" i="2"/>
  <c r="I89" i="2"/>
  <c r="H89" i="2"/>
  <c r="I112" i="2"/>
  <c r="H112" i="2"/>
  <c r="G134" i="2"/>
  <c r="F134" i="2"/>
  <c r="G158" i="2"/>
  <c r="F158" i="2"/>
  <c r="I175" i="2"/>
  <c r="H175" i="2"/>
  <c r="G181" i="2"/>
  <c r="F181" i="2"/>
  <c r="F146" i="2"/>
  <c r="G146" i="2"/>
  <c r="I113" i="2"/>
  <c r="H124" i="2"/>
  <c r="I124" i="2"/>
  <c r="G132" i="2"/>
  <c r="F132" i="2"/>
  <c r="G141" i="2"/>
  <c r="F141" i="2"/>
  <c r="G155" i="2"/>
  <c r="F155" i="2"/>
  <c r="G164" i="2"/>
  <c r="F164" i="2"/>
  <c r="G147" i="2"/>
  <c r="F147" i="2"/>
  <c r="G156" i="2"/>
  <c r="F156" i="2"/>
  <c r="F96" i="2"/>
  <c r="F100" i="2"/>
  <c r="F120" i="2"/>
  <c r="F127" i="2"/>
  <c r="F130" i="2"/>
  <c r="G130" i="2"/>
  <c r="F136" i="2"/>
  <c r="I145" i="2"/>
  <c r="F159" i="2"/>
  <c r="F162" i="2"/>
  <c r="G162" i="2"/>
  <c r="F168" i="2"/>
  <c r="G177" i="2"/>
  <c r="I177" i="2" s="1"/>
  <c r="G180" i="2"/>
  <c r="F180" i="2"/>
  <c r="I85" i="2"/>
  <c r="I104" i="2"/>
  <c r="H104" i="2"/>
  <c r="F106" i="2"/>
  <c r="G106" i="2"/>
  <c r="H108" i="2"/>
  <c r="I108" i="2"/>
  <c r="G110" i="2"/>
  <c r="F110" i="2"/>
  <c r="G139" i="2"/>
  <c r="F139" i="2"/>
  <c r="G148" i="2"/>
  <c r="F148" i="2"/>
  <c r="G157" i="2"/>
  <c r="F157" i="2"/>
  <c r="G171" i="2"/>
  <c r="F171" i="2"/>
  <c r="H177" i="2"/>
  <c r="G85" i="2"/>
  <c r="F116" i="2"/>
  <c r="I121" i="2"/>
  <c r="H145" i="2"/>
  <c r="F151" i="2"/>
  <c r="F154" i="2"/>
  <c r="G154" i="2"/>
  <c r="I169" i="2"/>
  <c r="I16" i="2" l="1"/>
  <c r="H16" i="2"/>
  <c r="H8" i="2"/>
  <c r="I8" i="2"/>
  <c r="H10" i="2"/>
  <c r="I10" i="2"/>
  <c r="I7" i="2"/>
  <c r="H7" i="2"/>
  <c r="I4" i="2"/>
  <c r="H4" i="2"/>
  <c r="I3" i="2"/>
  <c r="H3" i="2"/>
  <c r="I5" i="2"/>
  <c r="H5" i="2"/>
  <c r="I11" i="2"/>
  <c r="H11" i="2"/>
  <c r="H9" i="2"/>
  <c r="I9" i="2"/>
  <c r="I6" i="2"/>
  <c r="H6" i="2"/>
  <c r="H119" i="2"/>
  <c r="I119" i="2"/>
  <c r="G117" i="2"/>
  <c r="I117" i="2" s="1"/>
  <c r="I127" i="2"/>
  <c r="H127" i="2"/>
  <c r="I181" i="2"/>
  <c r="H181" i="2"/>
  <c r="I48" i="2"/>
  <c r="H48" i="2"/>
  <c r="H70" i="2"/>
  <c r="I70" i="2"/>
  <c r="H116" i="2"/>
  <c r="I116" i="2"/>
  <c r="H106" i="2"/>
  <c r="I106" i="2"/>
  <c r="I153" i="2"/>
  <c r="H153" i="2"/>
  <c r="I37" i="2"/>
  <c r="H37" i="2"/>
  <c r="I33" i="2"/>
  <c r="H33" i="2"/>
  <c r="H117" i="2"/>
  <c r="H140" i="2"/>
  <c r="I140" i="2"/>
  <c r="I72" i="2"/>
  <c r="H72" i="2"/>
  <c r="I122" i="2"/>
  <c r="H122" i="2"/>
  <c r="H18" i="2"/>
  <c r="I18" i="2"/>
  <c r="H139" i="2"/>
  <c r="I139" i="2"/>
  <c r="I162" i="2"/>
  <c r="H162" i="2"/>
  <c r="H100" i="2"/>
  <c r="I100" i="2"/>
  <c r="H60" i="2"/>
  <c r="I60" i="2"/>
  <c r="I109" i="2"/>
  <c r="H109" i="2"/>
  <c r="H82" i="2"/>
  <c r="I82" i="2"/>
  <c r="I29" i="2"/>
  <c r="H29" i="2"/>
  <c r="H83" i="2"/>
  <c r="I83" i="2"/>
  <c r="I149" i="2"/>
  <c r="H149" i="2"/>
  <c r="H92" i="2"/>
  <c r="I92" i="2"/>
  <c r="I152" i="2"/>
  <c r="H152" i="2"/>
  <c r="I25" i="2"/>
  <c r="H25" i="2"/>
  <c r="I90" i="2"/>
  <c r="H90" i="2"/>
  <c r="I78" i="2"/>
  <c r="H78" i="2"/>
  <c r="H40" i="2"/>
  <c r="I40" i="2"/>
  <c r="I51" i="2"/>
  <c r="H51" i="2"/>
  <c r="I64" i="2"/>
  <c r="H64" i="2"/>
  <c r="H148" i="2"/>
  <c r="I148" i="2"/>
  <c r="I165" i="2"/>
  <c r="H165" i="2"/>
  <c r="I35" i="2"/>
  <c r="H35" i="2"/>
  <c r="H164" i="2"/>
  <c r="I164" i="2"/>
  <c r="I159" i="2"/>
  <c r="H159" i="2"/>
  <c r="I96" i="2"/>
  <c r="H96" i="2"/>
  <c r="H155" i="2"/>
  <c r="I155" i="2"/>
  <c r="I142" i="2"/>
  <c r="H142" i="2"/>
  <c r="I45" i="2"/>
  <c r="H45" i="2"/>
  <c r="I143" i="2"/>
  <c r="H143" i="2"/>
  <c r="I98" i="2"/>
  <c r="H98" i="2"/>
  <c r="I15" i="2"/>
  <c r="H15" i="2"/>
  <c r="H172" i="2"/>
  <c r="I172" i="2"/>
  <c r="I86" i="2"/>
  <c r="H86" i="2"/>
  <c r="I67" i="2"/>
  <c r="H67" i="2"/>
  <c r="H12" i="2"/>
  <c r="I12" i="2"/>
  <c r="H20" i="2"/>
  <c r="I20" i="2"/>
  <c r="I120" i="2"/>
  <c r="H120" i="2"/>
  <c r="I154" i="2"/>
  <c r="H154" i="2"/>
  <c r="H171" i="2"/>
  <c r="I171" i="2"/>
  <c r="H110" i="2"/>
  <c r="I110" i="2"/>
  <c r="I158" i="2"/>
  <c r="H158" i="2"/>
  <c r="I19" i="2"/>
  <c r="H19" i="2"/>
  <c r="H179" i="2"/>
  <c r="I179" i="2"/>
  <c r="I133" i="2"/>
  <c r="H133" i="2"/>
  <c r="I73" i="2"/>
  <c r="H73" i="2"/>
  <c r="I61" i="2"/>
  <c r="H61" i="2"/>
  <c r="H123" i="2"/>
  <c r="I123" i="2"/>
  <c r="H52" i="2"/>
  <c r="I52" i="2"/>
  <c r="H44" i="2"/>
  <c r="I44" i="2"/>
  <c r="H30" i="2"/>
  <c r="I30" i="2"/>
  <c r="I56" i="2"/>
  <c r="H56" i="2"/>
  <c r="I151" i="2"/>
  <c r="H151" i="2"/>
  <c r="I136" i="2"/>
  <c r="H136" i="2"/>
  <c r="I141" i="2"/>
  <c r="H141" i="2"/>
  <c r="H115" i="2"/>
  <c r="I115" i="2"/>
  <c r="I101" i="2"/>
  <c r="H101" i="2"/>
  <c r="I97" i="2"/>
  <c r="H97" i="2"/>
  <c r="I170" i="2"/>
  <c r="H170" i="2"/>
  <c r="I32" i="2"/>
  <c r="H32" i="2"/>
  <c r="I168" i="2"/>
  <c r="H168" i="2"/>
  <c r="I126" i="2"/>
  <c r="H126" i="2"/>
  <c r="H41" i="2"/>
  <c r="I41" i="2"/>
  <c r="I27" i="2"/>
  <c r="H27" i="2"/>
  <c r="I166" i="2"/>
  <c r="H166" i="2"/>
  <c r="H180" i="2"/>
  <c r="I180" i="2"/>
  <c r="H156" i="2"/>
  <c r="I156" i="2"/>
  <c r="I157" i="2"/>
  <c r="H157" i="2"/>
  <c r="H146" i="2"/>
  <c r="I146" i="2"/>
  <c r="I134" i="2"/>
  <c r="H134" i="2"/>
  <c r="I114" i="2"/>
  <c r="H114" i="2"/>
  <c r="H65" i="2"/>
  <c r="I65" i="2"/>
  <c r="H87" i="2"/>
  <c r="I87" i="2"/>
  <c r="I150" i="2"/>
  <c r="H150" i="2"/>
  <c r="I174" i="2"/>
  <c r="H174" i="2"/>
  <c r="H68" i="2"/>
  <c r="I68" i="2"/>
  <c r="H99" i="2"/>
  <c r="I99" i="2"/>
  <c r="I59" i="2"/>
  <c r="H59" i="2"/>
  <c r="I173" i="2"/>
  <c r="H173" i="2"/>
  <c r="H131" i="2"/>
  <c r="I131" i="2"/>
  <c r="I94" i="2"/>
  <c r="H94" i="2"/>
  <c r="I105" i="2"/>
  <c r="H105" i="2"/>
  <c r="I43" i="2"/>
  <c r="H43" i="2"/>
  <c r="H22" i="2"/>
  <c r="I22" i="2"/>
  <c r="I13" i="2"/>
  <c r="H13" i="2"/>
  <c r="I118" i="2"/>
  <c r="H118" i="2"/>
  <c r="H91" i="2"/>
  <c r="I91" i="2"/>
  <c r="I130" i="2"/>
  <c r="H130" i="2"/>
  <c r="H147" i="2"/>
  <c r="I147" i="2"/>
  <c r="H132" i="2"/>
  <c r="I132" i="2"/>
  <c r="H111" i="2"/>
  <c r="I111" i="2"/>
  <c r="I88" i="2"/>
  <c r="H88" i="2"/>
  <c r="I125" i="2"/>
  <c r="H125" i="2"/>
  <c r="I178" i="2"/>
  <c r="H178" i="2"/>
  <c r="I75" i="2"/>
  <c r="H75" i="2"/>
  <c r="I46" i="2"/>
  <c r="H46" i="2"/>
  <c r="H163" i="2"/>
  <c r="I163" i="2"/>
  <c r="I102" i="2"/>
  <c r="H102" i="2"/>
  <c r="I69" i="2"/>
  <c r="H69" i="2"/>
  <c r="I138" i="2"/>
  <c r="H138" i="2"/>
  <c r="H36" i="2"/>
  <c r="I36" i="2"/>
  <c r="B2" i="1" l="1"/>
  <c r="C2" i="1" s="1"/>
  <c r="D2" i="1" s="1"/>
  <c r="F2" i="1" s="1"/>
  <c r="B3" i="1"/>
  <c r="C3" i="1" s="1"/>
  <c r="D3" i="1" s="1"/>
  <c r="B4" i="1"/>
  <c r="C4" i="1" s="1"/>
  <c r="D4" i="1" s="1"/>
  <c r="E4" i="1" s="1"/>
  <c r="B5" i="1"/>
  <c r="C5" i="1" s="1"/>
  <c r="D5" i="1" s="1"/>
  <c r="B6" i="1"/>
  <c r="C6" i="1" s="1"/>
  <c r="D6" i="1" s="1"/>
  <c r="F6" i="1" s="1"/>
  <c r="B7" i="1"/>
  <c r="C7" i="1" s="1"/>
  <c r="D7" i="1" s="1"/>
  <c r="B8" i="1"/>
  <c r="C8" i="1" s="1"/>
  <c r="D8" i="1" s="1"/>
  <c r="B9" i="1"/>
  <c r="C9" i="1" s="1"/>
  <c r="D9" i="1" s="1"/>
  <c r="B10" i="1"/>
  <c r="C10" i="1" s="1"/>
  <c r="D10" i="1" s="1"/>
  <c r="F10" i="1" s="1"/>
  <c r="B11" i="1"/>
  <c r="C11" i="1" s="1"/>
  <c r="D11" i="1" s="1"/>
  <c r="B12" i="1"/>
  <c r="C12" i="1" s="1"/>
  <c r="D12" i="1" s="1"/>
  <c r="E12" i="1" s="1"/>
  <c r="B13" i="1"/>
  <c r="C13" i="1" s="1"/>
  <c r="D13" i="1" s="1"/>
  <c r="B14" i="1"/>
  <c r="C14" i="1" s="1"/>
  <c r="D14" i="1" s="1"/>
  <c r="F14" i="1" s="1"/>
  <c r="B15" i="1"/>
  <c r="C15" i="1" s="1"/>
  <c r="D15" i="1" s="1"/>
  <c r="B16" i="1"/>
  <c r="C16" i="1" s="1"/>
  <c r="D16" i="1" s="1"/>
  <c r="B17" i="1"/>
  <c r="C17" i="1" s="1"/>
  <c r="D17" i="1" s="1"/>
  <c r="B18" i="1"/>
  <c r="C18" i="1" s="1"/>
  <c r="D18" i="1" s="1"/>
  <c r="F18" i="1" s="1"/>
  <c r="B19" i="1"/>
  <c r="C19" i="1" s="1"/>
  <c r="D19" i="1" s="1"/>
  <c r="B20" i="1"/>
  <c r="C20" i="1" s="1"/>
  <c r="D20" i="1" s="1"/>
  <c r="E20" i="1" s="1"/>
  <c r="B21" i="1"/>
  <c r="C21" i="1" s="1"/>
  <c r="D21" i="1" s="1"/>
  <c r="B22" i="1"/>
  <c r="C22" i="1" s="1"/>
  <c r="D22" i="1" s="1"/>
  <c r="F22" i="1" s="1"/>
  <c r="B23" i="1"/>
  <c r="C23" i="1" s="1"/>
  <c r="D23" i="1" s="1"/>
  <c r="B24" i="1"/>
  <c r="C24" i="1" s="1"/>
  <c r="D24" i="1" s="1"/>
  <c r="B25" i="1"/>
  <c r="C25" i="1" s="1"/>
  <c r="D25" i="1" s="1"/>
  <c r="B26" i="1"/>
  <c r="C26" i="1" s="1"/>
  <c r="D26" i="1" s="1"/>
  <c r="B27" i="1"/>
  <c r="C27" i="1" s="1"/>
  <c r="D27" i="1" s="1"/>
  <c r="B28" i="1"/>
  <c r="C28" i="1" s="1"/>
  <c r="D28" i="1" s="1"/>
  <c r="E28" i="1" s="1"/>
  <c r="B29" i="1"/>
  <c r="C29" i="1" s="1"/>
  <c r="D29" i="1" s="1"/>
  <c r="B30" i="1"/>
  <c r="C30" i="1" s="1"/>
  <c r="D30" i="1" s="1"/>
  <c r="F30" i="1" s="1"/>
  <c r="B31" i="1"/>
  <c r="C31" i="1" s="1"/>
  <c r="D31" i="1" s="1"/>
  <c r="B32" i="1"/>
  <c r="C32" i="1" s="1"/>
  <c r="D32" i="1" s="1"/>
  <c r="B33" i="1"/>
  <c r="C33" i="1" s="1"/>
  <c r="D33" i="1" s="1"/>
  <c r="B34" i="1"/>
  <c r="C34" i="1" s="1"/>
  <c r="D34" i="1" s="1"/>
  <c r="B35" i="1"/>
  <c r="C35" i="1" s="1"/>
  <c r="D35" i="1" s="1"/>
  <c r="B36" i="1"/>
  <c r="C36" i="1" s="1"/>
  <c r="D36" i="1" s="1"/>
  <c r="E36" i="1" s="1"/>
  <c r="B37" i="1"/>
  <c r="C37" i="1" s="1"/>
  <c r="D37" i="1" s="1"/>
  <c r="B38" i="1"/>
  <c r="C38" i="1" s="1"/>
  <c r="D38" i="1" s="1"/>
  <c r="F38" i="1" s="1"/>
  <c r="B39" i="1"/>
  <c r="C39" i="1" s="1"/>
  <c r="D39" i="1" s="1"/>
  <c r="B40" i="1"/>
  <c r="C40" i="1" s="1"/>
  <c r="D40" i="1" s="1"/>
  <c r="B41" i="1"/>
  <c r="C41" i="1" s="1"/>
  <c r="D41" i="1" s="1"/>
  <c r="B42" i="1"/>
  <c r="C42" i="1" s="1"/>
  <c r="D42" i="1" s="1"/>
  <c r="B43" i="1"/>
  <c r="C43" i="1" s="1"/>
  <c r="D43" i="1" s="1"/>
  <c r="B44" i="1"/>
  <c r="C44" i="1" s="1"/>
  <c r="D44" i="1" s="1"/>
  <c r="E44" i="1" s="1"/>
  <c r="B45" i="1"/>
  <c r="C45" i="1" s="1"/>
  <c r="D45" i="1" s="1"/>
  <c r="B46" i="1"/>
  <c r="C46" i="1" s="1"/>
  <c r="D46" i="1" s="1"/>
  <c r="F46" i="1" s="1"/>
  <c r="B47" i="1"/>
  <c r="C47" i="1" s="1"/>
  <c r="D47" i="1" s="1"/>
  <c r="B48" i="1"/>
  <c r="C48" i="1" s="1"/>
  <c r="D48" i="1" s="1"/>
  <c r="B49" i="1"/>
  <c r="C49" i="1" s="1"/>
  <c r="D49" i="1" s="1"/>
  <c r="B50" i="1"/>
  <c r="C50" i="1" s="1"/>
  <c r="D50" i="1" s="1"/>
  <c r="B51" i="1"/>
  <c r="C51" i="1" s="1"/>
  <c r="D51" i="1" s="1"/>
  <c r="B52" i="1"/>
  <c r="C52" i="1" s="1"/>
  <c r="D52" i="1" s="1"/>
  <c r="E52" i="1" s="1"/>
  <c r="B53" i="1"/>
  <c r="C53" i="1" s="1"/>
  <c r="D53" i="1" s="1"/>
  <c r="B54" i="1"/>
  <c r="C54" i="1" s="1"/>
  <c r="D54" i="1" s="1"/>
  <c r="F54" i="1" s="1"/>
  <c r="B55" i="1"/>
  <c r="C55" i="1" s="1"/>
  <c r="D55" i="1" s="1"/>
  <c r="B56" i="1"/>
  <c r="C56" i="1" s="1"/>
  <c r="D56" i="1" s="1"/>
  <c r="B57" i="1"/>
  <c r="C57" i="1" s="1"/>
  <c r="D57" i="1" s="1"/>
  <c r="E57" i="1" s="1"/>
  <c r="B58" i="1"/>
  <c r="C58" i="1" s="1"/>
  <c r="D58" i="1" s="1"/>
  <c r="B59" i="1"/>
  <c r="C59" i="1" s="1"/>
  <c r="D59" i="1" s="1"/>
  <c r="B60" i="1"/>
  <c r="C60" i="1" s="1"/>
  <c r="D60" i="1" s="1"/>
  <c r="E60" i="1" s="1"/>
  <c r="B61" i="1"/>
  <c r="C61" i="1" s="1"/>
  <c r="D61" i="1" s="1"/>
  <c r="B62" i="1"/>
  <c r="C62" i="1" s="1"/>
  <c r="D62" i="1" s="1"/>
  <c r="F62" i="1" s="1"/>
  <c r="B63" i="1"/>
  <c r="C63" i="1" s="1"/>
  <c r="D63" i="1" s="1"/>
  <c r="E63" i="1" s="1"/>
  <c r="B64" i="1"/>
  <c r="C64" i="1" s="1"/>
  <c r="D64" i="1" s="1"/>
  <c r="B65" i="1"/>
  <c r="C65" i="1" s="1"/>
  <c r="D65" i="1" s="1"/>
  <c r="B66" i="1"/>
  <c r="C66" i="1" s="1"/>
  <c r="D66" i="1" s="1"/>
  <c r="F66" i="1" s="1"/>
  <c r="B67" i="1"/>
  <c r="C67" i="1" s="1"/>
  <c r="D67" i="1" s="1"/>
  <c r="E67" i="1" s="1"/>
  <c r="B68" i="1"/>
  <c r="C68" i="1" s="1"/>
  <c r="D68" i="1" s="1"/>
  <c r="B69" i="1"/>
  <c r="C69" i="1" s="1"/>
  <c r="D69" i="1" s="1"/>
  <c r="B70" i="1"/>
  <c r="C70" i="1" s="1"/>
  <c r="D70" i="1" s="1"/>
  <c r="F70" i="1" s="1"/>
  <c r="B71" i="1"/>
  <c r="C71" i="1" s="1"/>
  <c r="D71" i="1" s="1"/>
  <c r="E71" i="1" s="1"/>
  <c r="B72" i="1"/>
  <c r="C72" i="1" s="1"/>
  <c r="D72" i="1" s="1"/>
  <c r="F72" i="1" s="1"/>
  <c r="B73" i="1"/>
  <c r="C73" i="1" s="1"/>
  <c r="D73" i="1" s="1"/>
  <c r="B74" i="1"/>
  <c r="C74" i="1" s="1"/>
  <c r="D74" i="1" s="1"/>
  <c r="F74" i="1" s="1"/>
  <c r="B75" i="1"/>
  <c r="C75" i="1" s="1"/>
  <c r="D75" i="1" s="1"/>
  <c r="B76" i="1"/>
  <c r="C76" i="1" s="1"/>
  <c r="D76" i="1" s="1"/>
  <c r="F76" i="1" s="1"/>
  <c r="B77" i="1"/>
  <c r="C77" i="1" s="1"/>
  <c r="D77" i="1" s="1"/>
  <c r="B78" i="1"/>
  <c r="C78" i="1" s="1"/>
  <c r="D78" i="1" s="1"/>
  <c r="F78" i="1" s="1"/>
  <c r="B79" i="1"/>
  <c r="C79" i="1" s="1"/>
  <c r="D79" i="1" s="1"/>
  <c r="E79" i="1" s="1"/>
  <c r="B80" i="1"/>
  <c r="C80" i="1" s="1"/>
  <c r="D80" i="1" s="1"/>
  <c r="F80" i="1" s="1"/>
  <c r="B81" i="1"/>
  <c r="C81" i="1" s="1"/>
  <c r="C82" i="1" s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C95" i="1" l="1"/>
  <c r="D95" i="1" s="1"/>
  <c r="E95" i="1" s="1"/>
  <c r="C109" i="1"/>
  <c r="D109" i="1" s="1"/>
  <c r="E109" i="1" s="1"/>
  <c r="G109" i="1" s="1"/>
  <c r="C119" i="1"/>
  <c r="D119" i="1" s="1"/>
  <c r="F119" i="1" s="1"/>
  <c r="C107" i="1"/>
  <c r="D107" i="1" s="1"/>
  <c r="E107" i="1" s="1"/>
  <c r="G107" i="1" s="1"/>
  <c r="C100" i="1"/>
  <c r="D100" i="1" s="1"/>
  <c r="F100" i="1" s="1"/>
  <c r="F58" i="1"/>
  <c r="E58" i="1"/>
  <c r="G58" i="1" s="1"/>
  <c r="E80" i="1"/>
  <c r="H80" i="1" s="1"/>
  <c r="C120" i="1"/>
  <c r="D120" i="1" s="1"/>
  <c r="E120" i="1" s="1"/>
  <c r="F44" i="1"/>
  <c r="H44" i="1" s="1"/>
  <c r="F50" i="1"/>
  <c r="E50" i="1"/>
  <c r="G50" i="1" s="1"/>
  <c r="F26" i="1"/>
  <c r="E26" i="1"/>
  <c r="G26" i="1" s="1"/>
  <c r="F42" i="1"/>
  <c r="E42" i="1"/>
  <c r="G42" i="1" s="1"/>
  <c r="E77" i="1"/>
  <c r="G77" i="1" s="1"/>
  <c r="F77" i="1"/>
  <c r="E73" i="1"/>
  <c r="F73" i="1"/>
  <c r="F34" i="1"/>
  <c r="E34" i="1"/>
  <c r="G34" i="1" s="1"/>
  <c r="C114" i="1"/>
  <c r="D114" i="1" s="1"/>
  <c r="E114" i="1" s="1"/>
  <c r="C102" i="1"/>
  <c r="D102" i="1" s="1"/>
  <c r="F102" i="1" s="1"/>
  <c r="C113" i="1"/>
  <c r="D113" i="1" s="1"/>
  <c r="E113" i="1" s="1"/>
  <c r="C112" i="1"/>
  <c r="D112" i="1" s="1"/>
  <c r="E112" i="1" s="1"/>
  <c r="G112" i="1" s="1"/>
  <c r="C110" i="1"/>
  <c r="D110" i="1" s="1"/>
  <c r="F110" i="1" s="1"/>
  <c r="C97" i="1"/>
  <c r="D97" i="1" s="1"/>
  <c r="E97" i="1" s="1"/>
  <c r="C92" i="1"/>
  <c r="D92" i="1" s="1"/>
  <c r="F92" i="1" s="1"/>
  <c r="C90" i="1"/>
  <c r="D90" i="1" s="1"/>
  <c r="E90" i="1" s="1"/>
  <c r="C83" i="1"/>
  <c r="D83" i="1" s="1"/>
  <c r="E83" i="1" s="1"/>
  <c r="C121" i="1"/>
  <c r="D121" i="1" s="1"/>
  <c r="C115" i="1"/>
  <c r="D115" i="1" s="1"/>
  <c r="E115" i="1" s="1"/>
  <c r="C106" i="1"/>
  <c r="D106" i="1" s="1"/>
  <c r="F106" i="1" s="1"/>
  <c r="C104" i="1"/>
  <c r="D104" i="1" s="1"/>
  <c r="C99" i="1"/>
  <c r="D99" i="1" s="1"/>
  <c r="F99" i="1" s="1"/>
  <c r="C94" i="1"/>
  <c r="D94" i="1" s="1"/>
  <c r="E94" i="1" s="1"/>
  <c r="C85" i="1"/>
  <c r="D85" i="1" s="1"/>
  <c r="E85" i="1" s="1"/>
  <c r="G85" i="1" s="1"/>
  <c r="E72" i="1"/>
  <c r="H72" i="1" s="1"/>
  <c r="F28" i="1"/>
  <c r="H28" i="1" s="1"/>
  <c r="C118" i="1"/>
  <c r="D118" i="1" s="1"/>
  <c r="C108" i="1"/>
  <c r="D108" i="1" s="1"/>
  <c r="C101" i="1"/>
  <c r="D101" i="1" s="1"/>
  <c r="E101" i="1" s="1"/>
  <c r="C96" i="1"/>
  <c r="D96" i="1" s="1"/>
  <c r="E96" i="1" s="1"/>
  <c r="C87" i="1"/>
  <c r="D87" i="1" s="1"/>
  <c r="E87" i="1" s="1"/>
  <c r="G87" i="1" s="1"/>
  <c r="C111" i="1"/>
  <c r="D111" i="1" s="1"/>
  <c r="E111" i="1" s="1"/>
  <c r="G111" i="1" s="1"/>
  <c r="C103" i="1"/>
  <c r="D103" i="1" s="1"/>
  <c r="E103" i="1" s="1"/>
  <c r="C98" i="1"/>
  <c r="D98" i="1" s="1"/>
  <c r="E98" i="1" s="1"/>
  <c r="C89" i="1"/>
  <c r="D89" i="1" s="1"/>
  <c r="E89" i="1" s="1"/>
  <c r="F12" i="1"/>
  <c r="H12" i="1" s="1"/>
  <c r="C117" i="1"/>
  <c r="D117" i="1" s="1"/>
  <c r="F117" i="1" s="1"/>
  <c r="C116" i="1"/>
  <c r="D116" i="1" s="1"/>
  <c r="C105" i="1"/>
  <c r="D105" i="1" s="1"/>
  <c r="E105" i="1" s="1"/>
  <c r="G105" i="1" s="1"/>
  <c r="C93" i="1"/>
  <c r="D93" i="1" s="1"/>
  <c r="F93" i="1" s="1"/>
  <c r="C91" i="1"/>
  <c r="D91" i="1" s="1"/>
  <c r="E91" i="1" s="1"/>
  <c r="E18" i="1"/>
  <c r="G18" i="1" s="1"/>
  <c r="E75" i="1"/>
  <c r="F75" i="1"/>
  <c r="G79" i="1"/>
  <c r="G71" i="1"/>
  <c r="G67" i="1"/>
  <c r="G63" i="1"/>
  <c r="G57" i="1"/>
  <c r="E41" i="1"/>
  <c r="F41" i="1"/>
  <c r="E25" i="1"/>
  <c r="F25" i="1"/>
  <c r="E5" i="1"/>
  <c r="F5" i="1"/>
  <c r="E68" i="1"/>
  <c r="F68" i="1"/>
  <c r="E64" i="1"/>
  <c r="F64" i="1"/>
  <c r="E59" i="1"/>
  <c r="F59" i="1"/>
  <c r="F47" i="1"/>
  <c r="E47" i="1"/>
  <c r="G44" i="1"/>
  <c r="F31" i="1"/>
  <c r="E31" i="1"/>
  <c r="G28" i="1"/>
  <c r="F15" i="1"/>
  <c r="E15" i="1"/>
  <c r="G12" i="1"/>
  <c r="E8" i="1"/>
  <c r="F8" i="1"/>
  <c r="C84" i="1"/>
  <c r="D84" i="1" s="1"/>
  <c r="C88" i="1"/>
  <c r="D88" i="1" s="1"/>
  <c r="D82" i="1"/>
  <c r="C86" i="1"/>
  <c r="D86" i="1" s="1"/>
  <c r="D81" i="1"/>
  <c r="E74" i="1"/>
  <c r="E53" i="1"/>
  <c r="F53" i="1"/>
  <c r="E37" i="1"/>
  <c r="F37" i="1"/>
  <c r="E21" i="1"/>
  <c r="F21" i="1"/>
  <c r="F4" i="1"/>
  <c r="H4" i="1" s="1"/>
  <c r="E56" i="1"/>
  <c r="F56" i="1"/>
  <c r="E43" i="1"/>
  <c r="F43" i="1"/>
  <c r="E40" i="1"/>
  <c r="F40" i="1"/>
  <c r="E27" i="1"/>
  <c r="F27" i="1"/>
  <c r="E24" i="1"/>
  <c r="F24" i="1"/>
  <c r="E11" i="1"/>
  <c r="F11" i="1"/>
  <c r="F7" i="1"/>
  <c r="E7" i="1"/>
  <c r="G4" i="1"/>
  <c r="E76" i="1"/>
  <c r="E69" i="1"/>
  <c r="F69" i="1"/>
  <c r="E65" i="1"/>
  <c r="F65" i="1"/>
  <c r="E61" i="1"/>
  <c r="F61" i="1"/>
  <c r="F52" i="1"/>
  <c r="H52" i="1" s="1"/>
  <c r="E49" i="1"/>
  <c r="F49" i="1"/>
  <c r="F36" i="1"/>
  <c r="H36" i="1" s="1"/>
  <c r="E33" i="1"/>
  <c r="F33" i="1"/>
  <c r="F20" i="1"/>
  <c r="H20" i="1" s="1"/>
  <c r="E17" i="1"/>
  <c r="F17" i="1"/>
  <c r="E10" i="1"/>
  <c r="F55" i="1"/>
  <c r="E55" i="1"/>
  <c r="G52" i="1"/>
  <c r="F39" i="1"/>
  <c r="E39" i="1"/>
  <c r="G36" i="1"/>
  <c r="F23" i="1"/>
  <c r="E23" i="1"/>
  <c r="G20" i="1"/>
  <c r="E3" i="1"/>
  <c r="F3" i="1"/>
  <c r="E78" i="1"/>
  <c r="E70" i="1"/>
  <c r="E66" i="1"/>
  <c r="E62" i="1"/>
  <c r="F60" i="1"/>
  <c r="H60" i="1" s="1"/>
  <c r="E45" i="1"/>
  <c r="F45" i="1"/>
  <c r="E29" i="1"/>
  <c r="F29" i="1"/>
  <c r="E13" i="1"/>
  <c r="F13" i="1"/>
  <c r="E9" i="1"/>
  <c r="F9" i="1"/>
  <c r="E2" i="1"/>
  <c r="F79" i="1"/>
  <c r="H79" i="1" s="1"/>
  <c r="F71" i="1"/>
  <c r="H71" i="1" s="1"/>
  <c r="F67" i="1"/>
  <c r="H67" i="1" s="1"/>
  <c r="F63" i="1"/>
  <c r="H63" i="1" s="1"/>
  <c r="G60" i="1"/>
  <c r="F57" i="1"/>
  <c r="H57" i="1" s="1"/>
  <c r="E51" i="1"/>
  <c r="F51" i="1"/>
  <c r="E48" i="1"/>
  <c r="F48" i="1"/>
  <c r="E35" i="1"/>
  <c r="F35" i="1"/>
  <c r="E32" i="1"/>
  <c r="F32" i="1"/>
  <c r="E19" i="1"/>
  <c r="F19" i="1"/>
  <c r="E16" i="1"/>
  <c r="F16" i="1"/>
  <c r="E54" i="1"/>
  <c r="E46" i="1"/>
  <c r="E38" i="1"/>
  <c r="E30" i="1"/>
  <c r="E22" i="1"/>
  <c r="E14" i="1"/>
  <c r="E6" i="1"/>
  <c r="H50" i="1" l="1"/>
  <c r="F107" i="1"/>
  <c r="H107" i="1" s="1"/>
  <c r="E119" i="1"/>
  <c r="F112" i="1"/>
  <c r="H112" i="1" s="1"/>
  <c r="F97" i="1"/>
  <c r="H97" i="1" s="1"/>
  <c r="E99" i="1"/>
  <c r="G99" i="1" s="1"/>
  <c r="H58" i="1"/>
  <c r="E117" i="1"/>
  <c r="F89" i="1"/>
  <c r="H89" i="1" s="1"/>
  <c r="E102" i="1"/>
  <c r="H102" i="1" s="1"/>
  <c r="H26" i="1"/>
  <c r="F95" i="1"/>
  <c r="H95" i="1" s="1"/>
  <c r="H42" i="1"/>
  <c r="F83" i="1"/>
  <c r="H83" i="1" s="1"/>
  <c r="E106" i="1"/>
  <c r="G106" i="1" s="1"/>
  <c r="F96" i="1"/>
  <c r="H96" i="1" s="1"/>
  <c r="E100" i="1"/>
  <c r="G100" i="1" s="1"/>
  <c r="F115" i="1"/>
  <c r="H77" i="1"/>
  <c r="E110" i="1"/>
  <c r="G110" i="1" s="1"/>
  <c r="F114" i="1"/>
  <c r="F120" i="1"/>
  <c r="F94" i="1"/>
  <c r="H94" i="1" s="1"/>
  <c r="H18" i="1"/>
  <c r="F85" i="1"/>
  <c r="H85" i="1" s="1"/>
  <c r="H34" i="1"/>
  <c r="G80" i="1"/>
  <c r="F87" i="1"/>
  <c r="H87" i="1" s="1"/>
  <c r="F101" i="1"/>
  <c r="H101" i="1" s="1"/>
  <c r="F109" i="1"/>
  <c r="H109" i="1" s="1"/>
  <c r="F98" i="1"/>
  <c r="H98" i="1" s="1"/>
  <c r="G72" i="1"/>
  <c r="E92" i="1"/>
  <c r="H92" i="1" s="1"/>
  <c r="F113" i="1"/>
  <c r="F105" i="1"/>
  <c r="H105" i="1" s="1"/>
  <c r="F91" i="1"/>
  <c r="H91" i="1" s="1"/>
  <c r="F90" i="1"/>
  <c r="H90" i="1" s="1"/>
  <c r="F103" i="1"/>
  <c r="H103" i="1" s="1"/>
  <c r="F111" i="1"/>
  <c r="H111" i="1" s="1"/>
  <c r="F108" i="1"/>
  <c r="E108" i="1"/>
  <c r="F104" i="1"/>
  <c r="E104" i="1"/>
  <c r="E93" i="1"/>
  <c r="H93" i="1" s="1"/>
  <c r="E116" i="1"/>
  <c r="F116" i="1"/>
  <c r="E118" i="1"/>
  <c r="F118" i="1"/>
  <c r="F121" i="1"/>
  <c r="E121" i="1"/>
  <c r="G73" i="1"/>
  <c r="H73" i="1"/>
  <c r="G95" i="1"/>
  <c r="G6" i="1"/>
  <c r="H6" i="1"/>
  <c r="H16" i="1"/>
  <c r="G16" i="1"/>
  <c r="H48" i="1"/>
  <c r="G48" i="1"/>
  <c r="G29" i="1"/>
  <c r="H29" i="1"/>
  <c r="H70" i="1"/>
  <c r="G70" i="1"/>
  <c r="H23" i="1"/>
  <c r="G23" i="1"/>
  <c r="H55" i="1"/>
  <c r="G55" i="1"/>
  <c r="G65" i="1"/>
  <c r="H65" i="1"/>
  <c r="G5" i="1"/>
  <c r="H5" i="1"/>
  <c r="G41" i="1"/>
  <c r="H41" i="1"/>
  <c r="G91" i="1"/>
  <c r="G98" i="1"/>
  <c r="G101" i="1"/>
  <c r="G22" i="1"/>
  <c r="H22" i="1"/>
  <c r="H19" i="1"/>
  <c r="G19" i="1"/>
  <c r="H51" i="1"/>
  <c r="G51" i="1"/>
  <c r="G2" i="1"/>
  <c r="H2" i="1"/>
  <c r="G45" i="1"/>
  <c r="H45" i="1"/>
  <c r="H78" i="1"/>
  <c r="G78" i="1"/>
  <c r="H7" i="1"/>
  <c r="G7" i="1"/>
  <c r="F86" i="1"/>
  <c r="E86" i="1"/>
  <c r="H31" i="1"/>
  <c r="G31" i="1"/>
  <c r="G103" i="1"/>
  <c r="G94" i="1"/>
  <c r="H59" i="1"/>
  <c r="G59" i="1"/>
  <c r="H40" i="1"/>
  <c r="G40" i="1"/>
  <c r="G21" i="1"/>
  <c r="H21" i="1"/>
  <c r="F82" i="1"/>
  <c r="E82" i="1"/>
  <c r="H8" i="1"/>
  <c r="G8" i="1"/>
  <c r="H64" i="1"/>
  <c r="G64" i="1"/>
  <c r="G96" i="1"/>
  <c r="G49" i="1"/>
  <c r="H49" i="1"/>
  <c r="G38" i="1"/>
  <c r="H38" i="1"/>
  <c r="G33" i="1"/>
  <c r="H33" i="1"/>
  <c r="G61" i="1"/>
  <c r="H61" i="1"/>
  <c r="G69" i="1"/>
  <c r="H69" i="1"/>
  <c r="H74" i="1"/>
  <c r="G74" i="1"/>
  <c r="F88" i="1"/>
  <c r="E88" i="1"/>
  <c r="G25" i="1"/>
  <c r="H25" i="1"/>
  <c r="G90" i="1"/>
  <c r="G30" i="1"/>
  <c r="H30" i="1"/>
  <c r="H32" i="1"/>
  <c r="G32" i="1"/>
  <c r="G9" i="1"/>
  <c r="H9" i="1"/>
  <c r="H62" i="1"/>
  <c r="G62" i="1"/>
  <c r="H39" i="1"/>
  <c r="G39" i="1"/>
  <c r="G46" i="1"/>
  <c r="H46" i="1"/>
  <c r="H3" i="1"/>
  <c r="G3" i="1"/>
  <c r="G10" i="1"/>
  <c r="H10" i="1"/>
  <c r="H11" i="1"/>
  <c r="G11" i="1"/>
  <c r="H43" i="1"/>
  <c r="G43" i="1"/>
  <c r="G37" i="1"/>
  <c r="H37" i="1"/>
  <c r="F84" i="1"/>
  <c r="E84" i="1"/>
  <c r="H68" i="1"/>
  <c r="G68" i="1"/>
  <c r="G89" i="1"/>
  <c r="G75" i="1"/>
  <c r="H75" i="1"/>
  <c r="G83" i="1"/>
  <c r="G14" i="1"/>
  <c r="H14" i="1"/>
  <c r="H27" i="1"/>
  <c r="G27" i="1"/>
  <c r="G54" i="1"/>
  <c r="H54" i="1"/>
  <c r="H35" i="1"/>
  <c r="G35" i="1"/>
  <c r="G13" i="1"/>
  <c r="H13" i="1"/>
  <c r="H66" i="1"/>
  <c r="G66" i="1"/>
  <c r="H15" i="1"/>
  <c r="G15" i="1"/>
  <c r="H47" i="1"/>
  <c r="G47" i="1"/>
  <c r="G97" i="1"/>
  <c r="G17" i="1"/>
  <c r="H17" i="1"/>
  <c r="H76" i="1"/>
  <c r="G76" i="1"/>
  <c r="H24" i="1"/>
  <c r="G24" i="1"/>
  <c r="H56" i="1"/>
  <c r="G56" i="1"/>
  <c r="G53" i="1"/>
  <c r="H53" i="1"/>
  <c r="E81" i="1"/>
  <c r="F81" i="1"/>
  <c r="H99" i="1" l="1"/>
  <c r="G102" i="1"/>
  <c r="H100" i="1"/>
  <c r="H110" i="1"/>
  <c r="H106" i="1"/>
  <c r="G92" i="1"/>
  <c r="G93" i="1"/>
  <c r="G104" i="1"/>
  <c r="H104" i="1"/>
  <c r="G121" i="1"/>
  <c r="H121" i="1"/>
  <c r="H108" i="1"/>
  <c r="G108" i="1"/>
  <c r="G81" i="1"/>
  <c r="H81" i="1"/>
  <c r="G82" i="1"/>
  <c r="H82" i="1"/>
  <c r="G88" i="1"/>
  <c r="H88" i="1"/>
  <c r="H84" i="1"/>
  <c r="G84" i="1"/>
  <c r="G86" i="1"/>
  <c r="H86" i="1"/>
</calcChain>
</file>

<file path=xl/sharedStrings.xml><?xml version="1.0" encoding="utf-8"?>
<sst xmlns="http://schemas.openxmlformats.org/spreadsheetml/2006/main" count="18" uniqueCount="8">
  <si>
    <t>h/D</t>
  </si>
  <si>
    <t>tetiva (t)</t>
  </si>
  <si>
    <t>luk (l)</t>
  </si>
  <si>
    <t>Qd/Q</t>
  </si>
  <si>
    <t>vd/v</t>
  </si>
  <si>
    <t>Ad/A</t>
  </si>
  <si>
    <t>Ad</t>
  </si>
  <si>
    <t>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</si>
</sst>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0"/>
    <numFmt numFmtId="166" formatCode="0.000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166" fontId="0" fillId="0" borderId="0" xfId="0" applyNumberFormat="1"/>
    <xf numFmtId="164" fontId="0" fillId="0" borderId="1" xfId="0" applyNumberFormat="1" applyBorder="1"/>
    <xf numFmtId="164" fontId="0" fillId="0" borderId="3" xfId="0" applyNumberFormat="1" applyBorder="1"/>
    <xf numFmtId="166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0" fillId="0" borderId="3" xfId="0" applyNumberFormat="1" applyBorder="1"/>
    <xf numFmtId="166" fontId="0" fillId="0" borderId="1" xfId="0" applyNumberFormat="1" applyBorder="1"/>
    <xf numFmtId="166" fontId="0" fillId="0" borderId="4" xfId="0" applyNumberFormat="1" applyBorder="1"/>
    <xf numFmtId="164" fontId="0" fillId="0" borderId="4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3" xfId="0" applyNumberFormat="1" applyBorder="1"/>
    <xf numFmtId="0" fontId="0" fillId="0" borderId="3" xfId="0" applyBorder="1"/>
    <xf numFmtId="165" fontId="0" fillId="0" borderId="4" xfId="0" applyNumberFormat="1" applyBorder="1"/>
    <xf numFmtId="0" fontId="0" fillId="0" borderId="4" xfId="0" applyBorder="1"/>
    <xf numFmtId="164" fontId="2" fillId="0" borderId="1" xfId="0" applyNumberFormat="1" applyFont="1" applyBorder="1"/>
    <xf numFmtId="165" fontId="2" fillId="0" borderId="1" xfId="0" applyNumberFormat="1" applyFont="1" applyBorder="1"/>
    <xf numFmtId="0" fontId="2" fillId="0" borderId="1" xfId="0" applyFont="1" applyBorder="1"/>
    <xf numFmtId="166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1"/>
  <sheetViews>
    <sheetView tabSelected="1" workbookViewId="0">
      <selection activeCell="N57" sqref="N57"/>
    </sheetView>
  </sheetViews>
  <sheetFormatPr defaultRowHeight="15" x14ac:dyDescent="0.25"/>
  <cols>
    <col min="1" max="1" width="11.140625" style="1" customWidth="1"/>
    <col min="2" max="2" width="10.42578125" customWidth="1"/>
    <col min="3" max="3" width="10.7109375" customWidth="1"/>
    <col min="4" max="4" width="11.85546875" customWidth="1"/>
    <col min="5" max="5" width="9.140625" customWidth="1"/>
    <col min="6" max="6" width="11.42578125" customWidth="1"/>
    <col min="7" max="7" width="11.5703125" customWidth="1"/>
    <col min="8" max="8" width="12.5703125" customWidth="1"/>
    <col min="9" max="9" width="9.85546875" bestFit="1" customWidth="1"/>
  </cols>
  <sheetData>
    <row r="1" spans="1:9" ht="15.75" thickBot="1" x14ac:dyDescent="0.3">
      <c r="A1" s="4" t="s">
        <v>0</v>
      </c>
      <c r="B1" s="5" t="s">
        <v>1</v>
      </c>
      <c r="C1" s="5" t="s">
        <v>2</v>
      </c>
      <c r="D1" s="5" t="s">
        <v>6</v>
      </c>
      <c r="E1" s="5" t="s">
        <v>7</v>
      </c>
      <c r="F1" s="5" t="s">
        <v>5</v>
      </c>
      <c r="G1" s="5" t="s">
        <v>4</v>
      </c>
      <c r="H1" s="5" t="s">
        <v>3</v>
      </c>
      <c r="I1" s="4" t="s">
        <v>0</v>
      </c>
    </row>
    <row r="2" spans="1:9" ht="15.75" thickTop="1" x14ac:dyDescent="0.25">
      <c r="A2" s="6">
        <v>5.0000000000000001E-3</v>
      </c>
      <c r="B2" s="3">
        <f>SUM(2*((A2-A2^2)^0.5))</f>
        <v>0.14106735979665885</v>
      </c>
      <c r="C2" s="3">
        <f t="shared" ref="C2" si="0">ASIN(((B2)))</f>
        <v>0.14153947332442723</v>
      </c>
      <c r="D2" s="3">
        <f>SUM((C2*0.5-(B2*(0.5-A2)))/2)</f>
        <v>4.7069678143374372E-4</v>
      </c>
      <c r="E2" s="3">
        <f>SUM(D2/C2)</f>
        <v>3.3255513135536708E-3</v>
      </c>
      <c r="F2" s="3">
        <f t="shared" ref="F2:F33" si="1">SUM(D2/0.25)/PI()</f>
        <v>5.9930975570100624E-4</v>
      </c>
      <c r="G2" s="3">
        <f t="shared" ref="G2:G33" si="2">SUM((E2)/(0.25))^0.625</f>
        <v>6.7212844886813408E-2</v>
      </c>
      <c r="H2" s="3">
        <f t="shared" ref="H2:H33" si="3">SUM((E2/0.25)^0.625)*F2</f>
        <v>4.0281313649085771E-5</v>
      </c>
      <c r="I2" s="6">
        <v>5.0000000000000001E-3</v>
      </c>
    </row>
    <row r="3" spans="1:9" x14ac:dyDescent="0.25">
      <c r="A3" s="7">
        <v>0.01</v>
      </c>
      <c r="B3" s="2">
        <f t="shared" ref="B3:B63" si="4">SUM(2*((A3-A3^2)^0.5))</f>
        <v>0.198997487421324</v>
      </c>
      <c r="C3" s="2">
        <f>ASIN(((B3)))</f>
        <v>0.20033484232311963</v>
      </c>
      <c r="D3" s="2">
        <f t="shared" ref="D3:D63" si="5">SUM((C3*0.5-(B3*(0.5-A3)))/2)</f>
        <v>1.3293261625555233E-3</v>
      </c>
      <c r="E3" s="2">
        <f t="shared" ref="E3:E63" si="6">SUM(D3/C3)</f>
        <v>6.6355215455305375E-3</v>
      </c>
      <c r="F3" s="2">
        <f t="shared" si="1"/>
        <v>1.6925506380167355E-3</v>
      </c>
      <c r="G3" s="2">
        <f t="shared" si="2"/>
        <v>0.10350454233170549</v>
      </c>
      <c r="H3" s="2">
        <f t="shared" si="3"/>
        <v>1.7518667916115833E-4</v>
      </c>
      <c r="I3" s="7">
        <v>0.01</v>
      </c>
    </row>
    <row r="4" spans="1:9" x14ac:dyDescent="0.25">
      <c r="A4" s="7">
        <v>1.4999999999999999E-2</v>
      </c>
      <c r="B4" s="2">
        <f t="shared" si="4"/>
        <v>0.24310491562286435</v>
      </c>
      <c r="C4" s="2">
        <f t="shared" ref="C4:C64" si="7">ASIN(((B4)))</f>
        <v>0.24556551751529201</v>
      </c>
      <c r="D4" s="2">
        <f t="shared" si="5"/>
        <v>2.4384373402783974E-3</v>
      </c>
      <c r="E4" s="2">
        <f t="shared" si="6"/>
        <v>9.929884964922038E-3</v>
      </c>
      <c r="F4" s="2">
        <f t="shared" si="1"/>
        <v>3.1047148490012878E-3</v>
      </c>
      <c r="G4" s="2">
        <f t="shared" si="2"/>
        <v>0.13316117860173238</v>
      </c>
      <c r="H4" s="2">
        <f t="shared" si="3"/>
        <v>4.1342748851531106E-4</v>
      </c>
      <c r="I4" s="7">
        <v>1.4999999999999999E-2</v>
      </c>
    </row>
    <row r="5" spans="1:9" x14ac:dyDescent="0.25">
      <c r="A5" s="7">
        <v>0.02</v>
      </c>
      <c r="B5" s="2">
        <f t="shared" si="4"/>
        <v>0.27999999999999997</v>
      </c>
      <c r="C5" s="2">
        <f t="shared" si="7"/>
        <v>0.28379410920832782</v>
      </c>
      <c r="D5" s="2">
        <f t="shared" si="5"/>
        <v>3.7485273020819582E-3</v>
      </c>
      <c r="E5" s="2">
        <f t="shared" si="6"/>
        <v>1.3208615614111413E-2</v>
      </c>
      <c r="F5" s="2">
        <f t="shared" si="1"/>
        <v>4.7727731955301599E-3</v>
      </c>
      <c r="G5" s="2">
        <f t="shared" si="2"/>
        <v>0.15915610722593723</v>
      </c>
      <c r="H5" s="2">
        <f t="shared" si="3"/>
        <v>7.5961600247287722E-4</v>
      </c>
      <c r="I5" s="7">
        <v>0.02</v>
      </c>
    </row>
    <row r="6" spans="1:9" x14ac:dyDescent="0.25">
      <c r="A6" s="7">
        <v>2.5000000000000001E-2</v>
      </c>
      <c r="B6" s="2">
        <f t="shared" si="4"/>
        <v>0.31224989991991992</v>
      </c>
      <c r="C6" s="2">
        <f t="shared" si="7"/>
        <v>0.3175604292915214</v>
      </c>
      <c r="D6" s="2">
        <f t="shared" si="5"/>
        <v>5.2307560918993662E-3</v>
      </c>
      <c r="E6" s="2">
        <f t="shared" si="6"/>
        <v>1.6471687305528601E-2</v>
      </c>
      <c r="F6" s="2">
        <f t="shared" si="1"/>
        <v>6.6600055050706278E-3</v>
      </c>
      <c r="G6" s="2">
        <f t="shared" si="2"/>
        <v>0.18270431328341999</v>
      </c>
      <c r="H6" s="2">
        <f t="shared" si="3"/>
        <v>1.2168117322677258E-3</v>
      </c>
      <c r="I6" s="7">
        <v>2.5000000000000001E-2</v>
      </c>
    </row>
    <row r="7" spans="1:9" x14ac:dyDescent="0.25">
      <c r="A7" s="7">
        <v>0.03</v>
      </c>
      <c r="B7" s="2">
        <f t="shared" si="4"/>
        <v>0.3411744421846396</v>
      </c>
      <c r="C7" s="2">
        <f t="shared" si="7"/>
        <v>0.34816602127296087</v>
      </c>
      <c r="D7" s="2">
        <f t="shared" si="5"/>
        <v>6.8655114048499083E-3</v>
      </c>
      <c r="E7" s="2">
        <f t="shared" si="6"/>
        <v>1.9719073618236205E-2</v>
      </c>
      <c r="F7" s="2">
        <f t="shared" si="1"/>
        <v>8.7414406154851642E-3</v>
      </c>
      <c r="G7" s="2">
        <f t="shared" si="2"/>
        <v>0.20445209369631831</v>
      </c>
      <c r="H7" s="2">
        <f t="shared" si="3"/>
        <v>1.7872058357579752E-3</v>
      </c>
      <c r="I7" s="7">
        <v>0.03</v>
      </c>
    </row>
    <row r="8" spans="1:9" x14ac:dyDescent="0.25">
      <c r="A8" s="7">
        <v>3.5000000000000003E-2</v>
      </c>
      <c r="B8" s="2">
        <f t="shared" si="4"/>
        <v>0.36755951898978217</v>
      </c>
      <c r="C8" s="2">
        <f t="shared" si="7"/>
        <v>0.37638348231772834</v>
      </c>
      <c r="D8" s="2">
        <f t="shared" si="5"/>
        <v>8.638282414307738E-3</v>
      </c>
      <c r="E8" s="2">
        <f t="shared" si="6"/>
        <v>2.2950747894445685E-2</v>
      </c>
      <c r="F8" s="2">
        <f t="shared" si="1"/>
        <v>1.0998602768486947E-2</v>
      </c>
      <c r="G8" s="2">
        <f t="shared" si="2"/>
        <v>0.22479441711169737</v>
      </c>
      <c r="H8" s="2">
        <f t="shared" si="3"/>
        <v>2.4724244983851244E-3</v>
      </c>
      <c r="I8" s="7">
        <v>3.5000000000000003E-2</v>
      </c>
    </row>
    <row r="9" spans="1:9" x14ac:dyDescent="0.25">
      <c r="A9" s="7">
        <v>0.04</v>
      </c>
      <c r="B9" s="2">
        <f t="shared" si="4"/>
        <v>0.39191835884530851</v>
      </c>
      <c r="C9" s="2">
        <f t="shared" si="7"/>
        <v>0.40271584158066159</v>
      </c>
      <c r="D9" s="2">
        <f t="shared" si="5"/>
        <v>1.0537737860744439E-2</v>
      </c>
      <c r="E9" s="2">
        <f t="shared" si="6"/>
        <v>2.6166683235960542E-2</v>
      </c>
      <c r="F9" s="2">
        <f t="shared" si="1"/>
        <v>1.3417064556352738E-2</v>
      </c>
      <c r="G9" s="2">
        <f t="shared" si="2"/>
        <v>0.2439947140079409</v>
      </c>
      <c r="H9" s="2">
        <f t="shared" si="3"/>
        <v>3.2736928292533669E-3</v>
      </c>
      <c r="I9" s="7">
        <v>0.04</v>
      </c>
    </row>
    <row r="10" spans="1:9" x14ac:dyDescent="0.25">
      <c r="A10" s="7">
        <v>4.4999999999999998E-2</v>
      </c>
      <c r="B10" s="2">
        <f t="shared" si="4"/>
        <v>0.41460824883255759</v>
      </c>
      <c r="C10" s="2">
        <f t="shared" si="7"/>
        <v>0.42751226494486955</v>
      </c>
      <c r="D10" s="2">
        <f t="shared" si="5"/>
        <v>1.2554689626810528E-2</v>
      </c>
      <c r="E10" s="2">
        <f t="shared" si="6"/>
        <v>2.9366852500546471E-2</v>
      </c>
      <c r="F10" s="2">
        <f t="shared" si="1"/>
        <v>1.5985127304731506E-2</v>
      </c>
      <c r="G10" s="2">
        <f t="shared" si="2"/>
        <v>0.26223965856788478</v>
      </c>
      <c r="H10" s="2">
        <f t="shared" si="3"/>
        <v>4.1919343265569625E-3</v>
      </c>
      <c r="I10" s="7">
        <v>4.4999999999999998E-2</v>
      </c>
    </row>
    <row r="11" spans="1:9" x14ac:dyDescent="0.25">
      <c r="A11" s="7">
        <v>0.05</v>
      </c>
      <c r="B11" s="2">
        <f t="shared" si="4"/>
        <v>0.43588989435406733</v>
      </c>
      <c r="C11" s="2">
        <f t="shared" si="7"/>
        <v>0.45102681179626242</v>
      </c>
      <c r="D11" s="2">
        <f t="shared" si="5"/>
        <v>1.4681476719400455E-2</v>
      </c>
      <c r="E11" s="2">
        <f t="shared" si="6"/>
        <v>3.2551228298224461E-2</v>
      </c>
      <c r="F11" s="2">
        <f t="shared" si="1"/>
        <v>1.8693036734249324E-2</v>
      </c>
      <c r="G11" s="2">
        <f t="shared" si="2"/>
        <v>0.279667569241559</v>
      </c>
      <c r="H11" s="2">
        <f t="shared" si="3"/>
        <v>5.227836145210679E-3</v>
      </c>
      <c r="I11" s="7">
        <v>0.05</v>
      </c>
    </row>
    <row r="12" spans="1:9" x14ac:dyDescent="0.25">
      <c r="A12" s="7">
        <v>5.5E-2</v>
      </c>
      <c r="B12" s="2">
        <f t="shared" si="4"/>
        <v>0.45596052460711989</v>
      </c>
      <c r="C12" s="2">
        <f t="shared" si="7"/>
        <v>0.47345115727206616</v>
      </c>
      <c r="D12" s="2">
        <f t="shared" si="5"/>
        <v>1.691157259293237E-2</v>
      </c>
      <c r="E12" s="2">
        <f t="shared" si="6"/>
        <v>3.5719782987486133E-2</v>
      </c>
      <c r="F12" s="2">
        <f t="shared" si="1"/>
        <v>2.1532482988980865E-2</v>
      </c>
      <c r="G12" s="2">
        <f t="shared" si="2"/>
        <v>0.29638450973413216</v>
      </c>
      <c r="H12" s="2">
        <f t="shared" si="3"/>
        <v>6.3818944140476347E-3</v>
      </c>
      <c r="I12" s="7">
        <v>5.5E-2</v>
      </c>
    </row>
    <row r="13" spans="1:9" x14ac:dyDescent="0.25">
      <c r="A13" s="7">
        <v>0.06</v>
      </c>
      <c r="B13" s="2">
        <f t="shared" si="4"/>
        <v>0.4749736834815167</v>
      </c>
      <c r="C13" s="2">
        <f t="shared" si="7"/>
        <v>0.49493412634089551</v>
      </c>
      <c r="D13" s="2">
        <f t="shared" si="5"/>
        <v>1.9239321219290201E-2</v>
      </c>
      <c r="E13" s="2">
        <f t="shared" si="6"/>
        <v>3.8872488671429263E-2</v>
      </c>
      <c r="F13" s="2">
        <f t="shared" si="1"/>
        <v>2.449626459026261E-2</v>
      </c>
      <c r="G13" s="2">
        <f t="shared" si="2"/>
        <v>0.31247405305922488</v>
      </c>
      <c r="H13" s="2">
        <f t="shared" si="3"/>
        <v>7.65444708133053E-3</v>
      </c>
      <c r="I13" s="7">
        <v>0.06</v>
      </c>
    </row>
    <row r="14" spans="1:9" x14ac:dyDescent="0.25">
      <c r="A14" s="7">
        <v>6.5000000000000002E-2</v>
      </c>
      <c r="B14" s="2">
        <f t="shared" si="4"/>
        <v>0.49305172142484199</v>
      </c>
      <c r="C14" s="2">
        <f t="shared" si="7"/>
        <v>0.51559400624609053</v>
      </c>
      <c r="D14" s="2">
        <f t="shared" si="5"/>
        <v>2.1659752151619499E-2</v>
      </c>
      <c r="E14" s="2">
        <f t="shared" si="6"/>
        <v>4.2009317193810444E-2</v>
      </c>
      <c r="F14" s="2">
        <f t="shared" si="1"/>
        <v>2.7578052968604473E-2</v>
      </c>
      <c r="G14" s="2">
        <f t="shared" si="2"/>
        <v>0.32800352329721594</v>
      </c>
      <c r="H14" s="2">
        <f t="shared" si="3"/>
        <v>9.0456985393795129E-3</v>
      </c>
      <c r="I14" s="7">
        <v>6.5000000000000002E-2</v>
      </c>
    </row>
    <row r="15" spans="1:9" x14ac:dyDescent="0.25">
      <c r="A15" s="7">
        <v>7.0000000000000007E-2</v>
      </c>
      <c r="B15" s="2">
        <f t="shared" si="4"/>
        <v>0.51029403288692299</v>
      </c>
      <c r="C15" s="2">
        <f t="shared" si="7"/>
        <v>0.53552665431438784</v>
      </c>
      <c r="D15" s="2">
        <f t="shared" si="5"/>
        <v>2.4168446507908517E-2</v>
      </c>
      <c r="E15" s="2">
        <f t="shared" si="6"/>
        <v>4.5130240135013183E-2</v>
      </c>
      <c r="F15" s="2">
        <f t="shared" si="1"/>
        <v>3.0772221828685574E-2</v>
      </c>
      <c r="G15" s="2">
        <f t="shared" si="2"/>
        <v>0.34302815884693572</v>
      </c>
      <c r="H15" s="2">
        <f t="shared" si="3"/>
        <v>1.0555738597523498E-2</v>
      </c>
      <c r="I15" s="7">
        <v>7.0000000000000007E-2</v>
      </c>
    </row>
    <row r="16" spans="1:9" x14ac:dyDescent="0.25">
      <c r="A16" s="7">
        <v>7.4999999999999997E-2</v>
      </c>
      <c r="B16" s="2">
        <f t="shared" si="4"/>
        <v>0.52678268764263692</v>
      </c>
      <c r="C16" s="2">
        <f t="shared" si="7"/>
        <v>0.55481103298007151</v>
      </c>
      <c r="D16" s="2">
        <f t="shared" si="5"/>
        <v>2.6761437120957535E-2</v>
      </c>
      <c r="E16" s="2">
        <f t="shared" si="6"/>
        <v>4.8235228807929617E-2</v>
      </c>
      <c r="F16" s="2">
        <f t="shared" si="1"/>
        <v>3.4073720016346655E-2</v>
      </c>
      <c r="G16" s="2">
        <f t="shared" si="2"/>
        <v>0.35759398822447874</v>
      </c>
      <c r="H16" s="2">
        <f t="shared" si="3"/>
        <v>1.2184557434289651E-2</v>
      </c>
      <c r="I16" s="7">
        <v>7.4999999999999997E-2</v>
      </c>
    </row>
    <row r="17" spans="1:9" x14ac:dyDescent="0.25">
      <c r="A17" s="7">
        <v>0.08</v>
      </c>
      <c r="B17" s="2">
        <f t="shared" si="4"/>
        <v>0.54258639865002145</v>
      </c>
      <c r="C17" s="2">
        <f t="shared" si="7"/>
        <v>0.57351310442309678</v>
      </c>
      <c r="D17" s="2">
        <f t="shared" si="5"/>
        <v>2.9435132389269689E-2</v>
      </c>
      <c r="E17" s="2">
        <f t="shared" si="6"/>
        <v>5.1324254253752088E-2</v>
      </c>
      <c r="F17" s="2">
        <f t="shared" si="1"/>
        <v>3.7477974562532983E-2</v>
      </c>
      <c r="G17" s="2">
        <f t="shared" si="2"/>
        <v>0.3717398757313401</v>
      </c>
      <c r="H17" s="2">
        <f t="shared" si="3"/>
        <v>1.3932057606538336E-2</v>
      </c>
      <c r="I17" s="7">
        <v>0.08</v>
      </c>
    </row>
    <row r="18" spans="1:9" x14ac:dyDescent="0.25">
      <c r="A18" s="7">
        <v>8.5000000000000006E-2</v>
      </c>
      <c r="B18" s="2">
        <f t="shared" si="4"/>
        <v>0.55776339069537362</v>
      </c>
      <c r="C18" s="2">
        <f t="shared" si="7"/>
        <v>0.59168864242654395</v>
      </c>
      <c r="D18" s="2">
        <f t="shared" si="5"/>
        <v>3.2186257037345969E-2</v>
      </c>
      <c r="E18" s="2">
        <f t="shared" si="6"/>
        <v>5.4397287237673786E-2</v>
      </c>
      <c r="F18" s="2">
        <f t="shared" si="1"/>
        <v>4.0980815256959312E-2</v>
      </c>
      <c r="G18" s="2">
        <f t="shared" si="2"/>
        <v>0.38549901345080007</v>
      </c>
      <c r="H18" s="2">
        <f t="shared" si="3"/>
        <v>1.579806385196731E-2</v>
      </c>
      <c r="I18" s="7">
        <v>8.5000000000000006E-2</v>
      </c>
    </row>
    <row r="19" spans="1:9" x14ac:dyDescent="0.25">
      <c r="A19" s="7">
        <v>0.09</v>
      </c>
      <c r="B19" s="2">
        <f t="shared" si="4"/>
        <v>0.5723635208501674</v>
      </c>
      <c r="C19" s="2">
        <f t="shared" si="7"/>
        <v>0.60938530803079505</v>
      </c>
      <c r="D19" s="2">
        <f t="shared" si="5"/>
        <v>3.5011805233414434E-2</v>
      </c>
      <c r="E19" s="2">
        <f t="shared" si="6"/>
        <v>5.7454298244494474E-2</v>
      </c>
      <c r="F19" s="2">
        <f t="shared" si="1"/>
        <v>4.4578414955748782E-2</v>
      </c>
      <c r="G19" s="2">
        <f t="shared" si="2"/>
        <v>0.39890003312955441</v>
      </c>
      <c r="H19" s="2">
        <f t="shared" si="3"/>
        <v>1.7782331202711214E-2</v>
      </c>
      <c r="I19" s="7">
        <v>0.09</v>
      </c>
    </row>
    <row r="20" spans="1:9" x14ac:dyDescent="0.25">
      <c r="A20" s="7">
        <v>9.5000000000000001E-2</v>
      </c>
      <c r="B20" s="2">
        <f t="shared" si="4"/>
        <v>0.58642987645583</v>
      </c>
      <c r="C20" s="2">
        <f t="shared" si="7"/>
        <v>0.62664421164074069</v>
      </c>
      <c r="D20" s="2">
        <f t="shared" si="5"/>
        <v>3.790900292787959E-2</v>
      </c>
      <c r="E20" s="2">
        <f t="shared" si="6"/>
        <v>6.0495257474129635E-2</v>
      </c>
      <c r="F20" s="2">
        <f t="shared" si="1"/>
        <v>4.8267241629257357E-2</v>
      </c>
      <c r="G20" s="2">
        <f t="shared" si="2"/>
        <v>0.41196785048854889</v>
      </c>
      <c r="H20" s="2">
        <f t="shared" si="3"/>
        <v>1.9884551783016558E-2</v>
      </c>
      <c r="I20" s="7">
        <v>9.5000000000000001E-2</v>
      </c>
    </row>
    <row r="21" spans="1:9" x14ac:dyDescent="0.25">
      <c r="A21" s="7">
        <v>0.1</v>
      </c>
      <c r="B21" s="2">
        <f t="shared" si="4"/>
        <v>0.6</v>
      </c>
      <c r="C21" s="2">
        <f t="shared" si="7"/>
        <v>0.64350110879328437</v>
      </c>
      <c r="D21" s="2">
        <f t="shared" si="5"/>
        <v>4.0875277198321097E-2</v>
      </c>
      <c r="E21" s="2">
        <f t="shared" si="6"/>
        <v>6.3520134837019682E-2</v>
      </c>
      <c r="F21" s="2">
        <f t="shared" si="1"/>
        <v>5.2044019330913932E-2</v>
      </c>
      <c r="G21" s="2">
        <f t="shared" si="2"/>
        <v>0.42472431702312824</v>
      </c>
      <c r="H21" s="2">
        <f t="shared" si="3"/>
        <v>2.2104360565460904E-2</v>
      </c>
      <c r="I21" s="7">
        <v>0.1</v>
      </c>
    </row>
    <row r="22" spans="1:9" x14ac:dyDescent="0.25">
      <c r="A22" s="7">
        <v>0.105</v>
      </c>
      <c r="B22" s="2">
        <f t="shared" si="4"/>
        <v>0.61310684223877332</v>
      </c>
      <c r="C22" s="2">
        <f t="shared" si="7"/>
        <v>0.65998732938749849</v>
      </c>
      <c r="D22" s="2">
        <f t="shared" si="5"/>
        <v>4.3908231004716886E-2</v>
      </c>
      <c r="E22" s="2">
        <f t="shared" si="6"/>
        <v>6.6528899949436809E-2</v>
      </c>
      <c r="F22" s="2">
        <f t="shared" si="1"/>
        <v>5.5905696054572088E-2</v>
      </c>
      <c r="G22" s="2">
        <f t="shared" si="2"/>
        <v>0.4371887306015062</v>
      </c>
      <c r="H22" s="2">
        <f t="shared" si="3"/>
        <v>2.4441340291492003E-2</v>
      </c>
      <c r="I22" s="7">
        <v>0.105</v>
      </c>
    </row>
    <row r="23" spans="1:9" x14ac:dyDescent="0.25">
      <c r="A23" s="7">
        <v>0.11</v>
      </c>
      <c r="B23" s="2">
        <f t="shared" si="4"/>
        <v>0.62577951388648068</v>
      </c>
      <c r="C23" s="2">
        <f t="shared" si="7"/>
        <v>0.67613050956066145</v>
      </c>
      <c r="D23" s="2">
        <f t="shared" si="5"/>
        <v>4.7005622182301629E-2</v>
      </c>
      <c r="E23" s="2">
        <f t="shared" si="6"/>
        <v>6.9521522128686536E-2</v>
      </c>
      <c r="F23" s="2">
        <f t="shared" si="1"/>
        <v>5.9849416987386793E-2</v>
      </c>
      <c r="G23" s="2">
        <f t="shared" si="2"/>
        <v>0.44937824070691879</v>
      </c>
      <c r="H23" s="2">
        <f t="shared" si="3"/>
        <v>2.6895025713126658E-2</v>
      </c>
      <c r="I23" s="7">
        <v>0.11</v>
      </c>
    </row>
    <row r="24" spans="1:9" x14ac:dyDescent="0.25">
      <c r="A24" s="7">
        <v>0.115</v>
      </c>
      <c r="B24" s="2">
        <f t="shared" si="4"/>
        <v>0.63804388563797088</v>
      </c>
      <c r="C24" s="2">
        <f t="shared" si="7"/>
        <v>0.69195517512631699</v>
      </c>
      <c r="D24" s="2">
        <f t="shared" si="5"/>
        <v>5.0165345796269856E-2</v>
      </c>
      <c r="E24" s="2">
        <f t="shared" si="6"/>
        <v>7.249797038820055E-2</v>
      </c>
      <c r="F24" s="2">
        <f t="shared" si="1"/>
        <v>6.387250204312464E-2</v>
      </c>
      <c r="G24" s="2">
        <f t="shared" si="2"/>
        <v>0.46130817385587941</v>
      </c>
      <c r="H24" s="2">
        <f t="shared" si="3"/>
        <v>2.9464907277119756E-2</v>
      </c>
      <c r="I24" s="7">
        <v>0.115</v>
      </c>
    </row>
    <row r="25" spans="1:9" x14ac:dyDescent="0.25">
      <c r="A25" s="7">
        <v>0.12</v>
      </c>
      <c r="B25" s="2">
        <f t="shared" si="4"/>
        <v>0.64992307237087688</v>
      </c>
      <c r="C25" s="2">
        <f t="shared" si="7"/>
        <v>0.70748321177934304</v>
      </c>
      <c r="D25" s="2">
        <f t="shared" si="5"/>
        <v>5.3385419194369149E-2</v>
      </c>
      <c r="E25" s="2">
        <f t="shared" si="6"/>
        <v>7.5458213432518212E-2</v>
      </c>
      <c r="F25" s="2">
        <f t="shared" si="1"/>
        <v>6.7972426830534394E-2</v>
      </c>
      <c r="G25" s="2">
        <f t="shared" si="2"/>
        <v>0.47299229769792939</v>
      </c>
      <c r="H25" s="2">
        <f t="shared" si="3"/>
        <v>3.2150434346678844E-2</v>
      </c>
      <c r="I25" s="7">
        <v>0.12</v>
      </c>
    </row>
    <row r="26" spans="1:9" x14ac:dyDescent="0.25">
      <c r="A26" s="7">
        <v>0.125</v>
      </c>
      <c r="B26" s="2">
        <f t="shared" si="4"/>
        <v>0.66143782776614768</v>
      </c>
      <c r="C26" s="2">
        <f t="shared" si="7"/>
        <v>0.72273424781341566</v>
      </c>
      <c r="D26" s="2">
        <f t="shared" si="5"/>
        <v>5.6663969247201226E-2</v>
      </c>
      <c r="E26" s="2">
        <f t="shared" si="6"/>
        <v>7.8402219652153327E-2</v>
      </c>
      <c r="F26" s="2">
        <f t="shared" si="1"/>
        <v>7.2146806407193745E-2</v>
      </c>
      <c r="G26" s="2">
        <f t="shared" si="2"/>
        <v>0.48444303742104583</v>
      </c>
      <c r="H26" s="2">
        <f t="shared" si="3"/>
        <v>3.4951018036129107E-2</v>
      </c>
      <c r="I26" s="7">
        <v>0.125</v>
      </c>
    </row>
    <row r="27" spans="1:9" x14ac:dyDescent="0.25">
      <c r="A27" s="7">
        <v>0.13</v>
      </c>
      <c r="B27" s="2">
        <f t="shared" si="4"/>
        <v>0.67260686883200949</v>
      </c>
      <c r="C27" s="2">
        <f t="shared" si="7"/>
        <v>0.73772596845324878</v>
      </c>
      <c r="D27" s="2">
        <f t="shared" si="5"/>
        <v>5.9999221379390441E-2</v>
      </c>
      <c r="E27" s="2">
        <f t="shared" si="6"/>
        <v>8.1329957118342538E-2</v>
      </c>
      <c r="F27" s="2">
        <f t="shared" si="1"/>
        <v>7.6393381313559328E-2</v>
      </c>
      <c r="G27" s="2">
        <f t="shared" si="2"/>
        <v>0.49567165463665241</v>
      </c>
      <c r="H27" s="2">
        <f t="shared" si="3"/>
        <v>3.7866033718980674E-2</v>
      </c>
      <c r="I27" s="7">
        <v>0.13</v>
      </c>
    </row>
    <row r="28" spans="1:9" x14ac:dyDescent="0.25">
      <c r="A28" s="7">
        <v>0.13500000000000001</v>
      </c>
      <c r="B28" s="2">
        <f t="shared" si="4"/>
        <v>0.6834471449936711</v>
      </c>
      <c r="C28" s="2">
        <f t="shared" si="7"/>
        <v>0.7524743761633369</v>
      </c>
      <c r="D28" s="2">
        <f t="shared" si="5"/>
        <v>6.3389490079489255E-2</v>
      </c>
      <c r="E28" s="2">
        <f t="shared" si="6"/>
        <v>8.4241393577672505E-2</v>
      </c>
      <c r="F28" s="2">
        <f t="shared" si="1"/>
        <v>8.0710005489803019E-2</v>
      </c>
      <c r="G28" s="2">
        <f t="shared" si="2"/>
        <v>0.50668839644061781</v>
      </c>
      <c r="H28" s="2">
        <f t="shared" si="3"/>
        <v>4.0894823258341755E-2</v>
      </c>
      <c r="I28" s="7">
        <v>0.13500000000000001</v>
      </c>
    </row>
    <row r="29" spans="1:9" x14ac:dyDescent="0.25">
      <c r="A29" s="7">
        <v>0.14000000000000001</v>
      </c>
      <c r="B29" s="2">
        <f t="shared" si="4"/>
        <v>0.69397406291589891</v>
      </c>
      <c r="C29" s="2">
        <f t="shared" si="7"/>
        <v>0.76699400786186667</v>
      </c>
      <c r="D29" s="2">
        <f t="shared" si="5"/>
        <v>6.6833170640604872E-2</v>
      </c>
      <c r="E29" s="2">
        <f t="shared" si="6"/>
        <v>8.7136496446581529E-2</v>
      </c>
      <c r="F29" s="2">
        <f t="shared" si="1"/>
        <v>8.5094635759651191E-2</v>
      </c>
      <c r="G29" s="2">
        <f t="shared" si="2"/>
        <v>0.51750262054168616</v>
      </c>
      <c r="H29" s="2">
        <f t="shared" si="3"/>
        <v>4.4036696999659772E-2</v>
      </c>
      <c r="I29" s="7">
        <v>0.14000000000000001</v>
      </c>
    </row>
    <row r="30" spans="1:9" x14ac:dyDescent="0.25">
      <c r="A30" s="7">
        <v>0.14499999999999999</v>
      </c>
      <c r="B30" s="2">
        <f t="shared" si="4"/>
        <v>0.70420167565833014</v>
      </c>
      <c r="C30" s="2">
        <f t="shared" si="7"/>
        <v>0.78129811744872468</v>
      </c>
      <c r="D30" s="2">
        <f t="shared" si="5"/>
        <v>7.0328731932827571E-2</v>
      </c>
      <c r="E30" s="2">
        <f t="shared" si="6"/>
        <v>9.0015232805732606E-2</v>
      </c>
      <c r="F30" s="2">
        <f t="shared" si="1"/>
        <v>8.9545322627954671E-2</v>
      </c>
      <c r="G30" s="2">
        <f t="shared" si="2"/>
        <v>0.52812290101638959</v>
      </c>
      <c r="H30" s="2">
        <f t="shared" si="3"/>
        <v>4.7290935558723976E-2</v>
      </c>
      <c r="I30" s="7">
        <v>0.14499999999999999</v>
      </c>
    </row>
    <row r="31" spans="1:9" x14ac:dyDescent="0.25">
      <c r="A31" s="7">
        <v>0.15</v>
      </c>
      <c r="B31" s="2">
        <f t="shared" si="4"/>
        <v>0.71414284285428498</v>
      </c>
      <c r="C31" s="2">
        <f t="shared" si="7"/>
        <v>0.79539883018414348</v>
      </c>
      <c r="D31" s="2">
        <f t="shared" si="5"/>
        <v>7.3874710046536007E-2</v>
      </c>
      <c r="E31" s="2">
        <f t="shared" si="6"/>
        <v>9.2877569394253706E-2</v>
      </c>
      <c r="F31" s="2">
        <f t="shared" si="1"/>
        <v>9.4060202187093656E-2</v>
      </c>
      <c r="G31" s="2">
        <f t="shared" si="2"/>
        <v>0.53855711825392261</v>
      </c>
      <c r="H31" s="2">
        <f t="shared" si="3"/>
        <v>5.0656791432262468E-2</v>
      </c>
      <c r="I31" s="7">
        <v>0.15</v>
      </c>
    </row>
    <row r="32" spans="1:9" x14ac:dyDescent="0.25">
      <c r="A32" s="7">
        <v>0.155</v>
      </c>
      <c r="B32" s="2">
        <f t="shared" si="4"/>
        <v>0.7238093671679029</v>
      </c>
      <c r="C32" s="2">
        <f t="shared" si="7"/>
        <v>0.80930727404726344</v>
      </c>
      <c r="D32" s="2">
        <f t="shared" si="5"/>
        <v>7.7469702675352622E-2</v>
      </c>
      <c r="E32" s="2">
        <f t="shared" si="6"/>
        <v>9.5723472603841203E-2</v>
      </c>
      <c r="F32" s="2">
        <f t="shared" si="1"/>
        <v>9.8637488965134398E-2</v>
      </c>
      <c r="G32" s="2">
        <f t="shared" si="2"/>
        <v>0.5488125359021836</v>
      </c>
      <c r="H32" s="2">
        <f t="shared" si="3"/>
        <v>5.4133490453979062E-2</v>
      </c>
      <c r="I32" s="7">
        <v>0.155</v>
      </c>
    </row>
    <row r="33" spans="1:9" x14ac:dyDescent="0.25">
      <c r="A33" s="7">
        <v>0.16</v>
      </c>
      <c r="B33" s="2">
        <f t="shared" si="4"/>
        <v>0.73321211119293439</v>
      </c>
      <c r="C33" s="2">
        <f t="shared" si="7"/>
        <v>0.82303369213497601</v>
      </c>
      <c r="D33" s="2">
        <f t="shared" si="5"/>
        <v>8.1112364130945164E-2</v>
      </c>
      <c r="E33" s="2">
        <f t="shared" si="6"/>
        <v>9.8552908472722509E-2</v>
      </c>
      <c r="F33" s="2">
        <f t="shared" si="1"/>
        <v>0.10327546957847736</v>
      </c>
      <c r="G33" s="2">
        <f t="shared" si="2"/>
        <v>0.55889586705184158</v>
      </c>
      <c r="H33" s="2">
        <f t="shared" si="3"/>
        <v>5.7720233115249188E-2</v>
      </c>
      <c r="I33" s="7">
        <v>0.16</v>
      </c>
    </row>
    <row r="34" spans="1:9" x14ac:dyDescent="0.25">
      <c r="A34" s="7">
        <v>0.16500000000000001</v>
      </c>
      <c r="B34" s="2">
        <f t="shared" si="4"/>
        <v>0.74236109811869855</v>
      </c>
      <c r="C34" s="2">
        <f t="shared" si="7"/>
        <v>0.83658753934153773</v>
      </c>
      <c r="D34" s="2">
        <f t="shared" si="5"/>
        <v>8.4801400900502436E-2</v>
      </c>
      <c r="E34" s="2">
        <f t="shared" si="6"/>
        <v>0.10136584267947382</v>
      </c>
      <c r="F34" s="2">
        <f t="shared" ref="F34:F65" si="8">SUM(D34/0.25)/PI()</f>
        <v>0.10797249707545974</v>
      </c>
      <c r="G34" s="2">
        <f t="shared" ref="G34:G65" si="9">SUM((E34)/(0.25))^0.625</f>
        <v>0.56881333145253998</v>
      </c>
      <c r="H34" s="2">
        <f t="shared" ref="H34:H65" si="10">SUM((E34/0.25)^0.625)*F34</f>
        <v>6.1416195766741885E-2</v>
      </c>
      <c r="I34" s="7">
        <v>0.16500000000000001</v>
      </c>
    </row>
    <row r="35" spans="1:9" x14ac:dyDescent="0.25">
      <c r="A35" s="7">
        <v>0.17</v>
      </c>
      <c r="B35" s="2">
        <f t="shared" si="4"/>
        <v>0.751265598839718</v>
      </c>
      <c r="C35" s="2">
        <f t="shared" si="7"/>
        <v>0.84997756592480711</v>
      </c>
      <c r="D35" s="2">
        <f t="shared" si="5"/>
        <v>8.8535567672648322E-2</v>
      </c>
      <c r="E35" s="2">
        <f t="shared" si="6"/>
        <v>0.10416224053668798</v>
      </c>
      <c r="F35" s="2">
        <f t="shared" si="8"/>
        <v>0.11272698587639195</v>
      </c>
      <c r="G35" s="2">
        <f t="shared" si="9"/>
        <v>0.57857070521097342</v>
      </c>
      <c r="H35" s="2">
        <f t="shared" si="10"/>
        <v>6.5220531714811528E-2</v>
      </c>
      <c r="I35" s="7">
        <v>0.17</v>
      </c>
    </row>
    <row r="36" spans="1:9" x14ac:dyDescent="0.25">
      <c r="A36" s="7">
        <v>0.17499999999999999</v>
      </c>
      <c r="B36" s="2">
        <f t="shared" si="4"/>
        <v>0.75993420767853315</v>
      </c>
      <c r="C36" s="2">
        <f t="shared" si="7"/>
        <v>0.86321189006954102</v>
      </c>
      <c r="D36" s="2">
        <f t="shared" si="5"/>
        <v>9.2313663769623619E-2</v>
      </c>
      <c r="E36" s="2">
        <f t="shared" si="6"/>
        <v>0.10694206698448831</v>
      </c>
      <c r="F36" s="2">
        <f t="shared" si="8"/>
        <v>0.11753740723087046</v>
      </c>
      <c r="G36" s="2">
        <f t="shared" si="9"/>
        <v>0.58817336415048804</v>
      </c>
      <c r="H36" s="2">
        <f t="shared" si="10"/>
        <v>6.913237222450698E-2</v>
      </c>
      <c r="I36" s="7">
        <v>0.17499999999999999</v>
      </c>
    </row>
    <row r="37" spans="1:9" x14ac:dyDescent="0.25">
      <c r="A37" s="7">
        <v>0.18</v>
      </c>
      <c r="B37" s="2">
        <f t="shared" si="4"/>
        <v>0.7683749084919419</v>
      </c>
      <c r="C37" s="2">
        <f t="shared" si="7"/>
        <v>0.87629806116834075</v>
      </c>
      <c r="D37" s="2">
        <f t="shared" si="5"/>
        <v>9.6134529933374485E-2</v>
      </c>
      <c r="E37" s="2">
        <f t="shared" si="6"/>
        <v>0.10970528658388372</v>
      </c>
      <c r="F37" s="2">
        <f t="shared" si="8"/>
        <v>0.1224022851256986</v>
      </c>
      <c r="G37" s="2">
        <f t="shared" si="9"/>
        <v>0.59762632179834274</v>
      </c>
      <c r="H37" s="2">
        <f t="shared" si="10"/>
        <v>7.3150827439383254E-2</v>
      </c>
      <c r="I37" s="7">
        <v>0.18</v>
      </c>
    </row>
    <row r="38" spans="1:9" x14ac:dyDescent="0.25">
      <c r="A38" s="7">
        <v>0.185</v>
      </c>
      <c r="B38" s="2">
        <f t="shared" si="4"/>
        <v>0.77659513261415691</v>
      </c>
      <c r="C38" s="2">
        <f t="shared" si="7"/>
        <v>0.88924311523177968</v>
      </c>
      <c r="D38" s="2">
        <f t="shared" si="5"/>
        <v>9.9997045421215208E-2</v>
      </c>
      <c r="E38" s="2">
        <f t="shared" si="6"/>
        <v>0.11245186350995942</v>
      </c>
      <c r="F38" s="2">
        <f t="shared" si="8"/>
        <v>0.12732019258696944</v>
      </c>
      <c r="G38" s="2">
        <f t="shared" si="9"/>
        <v>0.60693426279675988</v>
      </c>
      <c r="H38" s="2">
        <f t="shared" si="10"/>
        <v>7.7274987226913797E-2</v>
      </c>
      <c r="I38" s="7">
        <v>0.185</v>
      </c>
    </row>
    <row r="39" spans="1:9" x14ac:dyDescent="0.25">
      <c r="A39" s="7">
        <v>0.19</v>
      </c>
      <c r="B39" s="2">
        <f t="shared" si="4"/>
        <v>0.78460180983732131</v>
      </c>
      <c r="C39" s="2">
        <f t="shared" si="7"/>
        <v>0.90205362359252494</v>
      </c>
      <c r="D39" s="2">
        <f t="shared" si="5"/>
        <v>0.10390012537334643</v>
      </c>
      <c r="E39" s="2">
        <f t="shared" si="6"/>
        <v>0.11518176154489916</v>
      </c>
      <c r="F39" s="2">
        <f t="shared" si="8"/>
        <v>0.13228974832828594</v>
      </c>
      <c r="G39" s="2">
        <f t="shared" si="9"/>
        <v>0.6161015723975829</v>
      </c>
      <c r="H39" s="2">
        <f t="shared" si="10"/>
        <v>8.1503921957137473E-2</v>
      </c>
      <c r="I39" s="7">
        <v>0.19</v>
      </c>
    </row>
    <row r="40" spans="1:9" x14ac:dyDescent="0.25">
      <c r="A40" s="7">
        <v>0.19500000000000001</v>
      </c>
      <c r="B40" s="2">
        <f t="shared" si="4"/>
        <v>0.79240141342630122</v>
      </c>
      <c r="C40" s="2">
        <f t="shared" si="7"/>
        <v>0.91473573586997392</v>
      </c>
      <c r="D40" s="2">
        <f t="shared" si="5"/>
        <v>0.10784271841998255</v>
      </c>
      <c r="E40" s="2">
        <f t="shared" si="6"/>
        <v>0.11789494407083269</v>
      </c>
      <c r="F40" s="2">
        <f t="shared" si="8"/>
        <v>0.13730961370406095</v>
      </c>
      <c r="G40" s="2">
        <f t="shared" si="9"/>
        <v>0.62513236259035132</v>
      </c>
      <c r="H40" s="2">
        <f t="shared" si="10"/>
        <v>8.5836683221188106E-2</v>
      </c>
      <c r="I40" s="7">
        <v>0.19500000000000001</v>
      </c>
    </row>
    <row r="41" spans="1:9" x14ac:dyDescent="0.25">
      <c r="A41" s="7">
        <v>0.2</v>
      </c>
      <c r="B41" s="2">
        <f t="shared" si="4"/>
        <v>0.8</v>
      </c>
      <c r="C41" s="2">
        <f t="shared" si="7"/>
        <v>0.9272952180016123</v>
      </c>
      <c r="D41" s="2">
        <f t="shared" si="5"/>
        <v>0.11182380450040308</v>
      </c>
      <c r="E41" s="2">
        <f t="shared" si="6"/>
        <v>0.12059137406250342</v>
      </c>
      <c r="F41" s="2">
        <f t="shared" si="8"/>
        <v>0.14237848993264707</v>
      </c>
      <c r="G41" s="2">
        <f t="shared" si="9"/>
        <v>0.63403049532428812</v>
      </c>
      <c r="H41" s="2">
        <f t="shared" si="10"/>
        <v>9.0272304495520386E-2</v>
      </c>
      <c r="I41" s="7">
        <v>0.2</v>
      </c>
    </row>
    <row r="42" spans="1:9" x14ac:dyDescent="0.25">
      <c r="A42" s="7">
        <v>0.20499999999999999</v>
      </c>
      <c r="B42" s="2">
        <f t="shared" si="4"/>
        <v>0.80740324497737803</v>
      </c>
      <c r="C42" s="2">
        <f t="shared" si="7"/>
        <v>0.93973748601687512</v>
      </c>
      <c r="D42" s="2">
        <f t="shared" si="5"/>
        <v>0.1158423928700555</v>
      </c>
      <c r="E42" s="2">
        <f t="shared" si="6"/>
        <v>0.12327101407975044</v>
      </c>
      <c r="F42" s="2">
        <f t="shared" si="8"/>
        <v>0.14749511555890132</v>
      </c>
      <c r="G42" s="2">
        <f t="shared" si="9"/>
        <v>0.64279960321175644</v>
      </c>
      <c r="H42" s="2">
        <f t="shared" si="10"/>
        <v>9.4809801756933931E-2</v>
      </c>
      <c r="I42" s="7">
        <v>0.20499999999999999</v>
      </c>
    </row>
    <row r="43" spans="1:9" x14ac:dyDescent="0.25">
      <c r="A43" s="7">
        <v>0.21</v>
      </c>
      <c r="B43" s="2">
        <f t="shared" si="4"/>
        <v>0.81461647417665206</v>
      </c>
      <c r="C43" s="2">
        <f t="shared" si="7"/>
        <v>0.95206763612264556</v>
      </c>
      <c r="D43" s="2">
        <f t="shared" si="5"/>
        <v>0.11989752027504683</v>
      </c>
      <c r="E43" s="2">
        <f t="shared" si="6"/>
        <v>0.12593382625979904</v>
      </c>
      <c r="F43" s="2">
        <f t="shared" si="8"/>
        <v>0.15265826412987557</v>
      </c>
      <c r="G43" s="2">
        <f t="shared" si="9"/>
        <v>0.65144310804085226</v>
      </c>
      <c r="H43" s="2">
        <f t="shared" si="10"/>
        <v>9.9448174052887486E-2</v>
      </c>
      <c r="I43" s="7">
        <v>0.21</v>
      </c>
    </row>
    <row r="44" spans="1:9" x14ac:dyDescent="0.25">
      <c r="A44" s="7">
        <v>0.215</v>
      </c>
      <c r="B44" s="2">
        <f t="shared" si="4"/>
        <v>0.82164469206585888</v>
      </c>
      <c r="C44" s="2">
        <f t="shared" si="7"/>
        <v>0.96429047158180969</v>
      </c>
      <c r="D44" s="2">
        <f t="shared" si="5"/>
        <v>0.12398824927606752</v>
      </c>
      <c r="E44" s="2">
        <f t="shared" si="6"/>
        <v>0.1285797723093528</v>
      </c>
      <c r="F44" s="2">
        <f t="shared" si="8"/>
        <v>0.15786674206077009</v>
      </c>
      <c r="G44" s="2">
        <f t="shared" si="9"/>
        <v>0.6599642373753638</v>
      </c>
      <c r="H44" s="2">
        <f t="shared" si="10"/>
        <v>0.10418640403106939</v>
      </c>
      <c r="I44" s="7">
        <v>0.215</v>
      </c>
    </row>
    <row r="45" spans="1:9" x14ac:dyDescent="0.25">
      <c r="A45" s="7">
        <v>0.22</v>
      </c>
      <c r="B45" s="2">
        <f t="shared" si="4"/>
        <v>0.82849260708831918</v>
      </c>
      <c r="C45" s="2">
        <f t="shared" si="7"/>
        <v>0.97641052679383444</v>
      </c>
      <c r="D45" s="2">
        <f t="shared" si="5"/>
        <v>0.12811366670609392</v>
      </c>
      <c r="E45" s="2">
        <f t="shared" si="6"/>
        <v>0.13120881349648195</v>
      </c>
      <c r="F45" s="2">
        <f t="shared" si="8"/>
        <v>0.16311938667121939</v>
      </c>
      <c r="G45" s="2">
        <f t="shared" si="9"/>
        <v>0.66836603947933937</v>
      </c>
      <c r="H45" s="2">
        <f t="shared" si="10"/>
        <v>0.10902345843174184</v>
      </c>
      <c r="I45" s="7">
        <v>0.22</v>
      </c>
    </row>
    <row r="46" spans="1:9" x14ac:dyDescent="0.25">
      <c r="A46" s="7">
        <v>0.22500000000000001</v>
      </c>
      <c r="B46" s="2">
        <f t="shared" si="4"/>
        <v>0.83516465442450327</v>
      </c>
      <c r="C46" s="2">
        <f t="shared" si="7"/>
        <v>0.98843208892615309</v>
      </c>
      <c r="D46" s="2">
        <f t="shared" si="5"/>
        <v>0.13227288224816908</v>
      </c>
      <c r="E46" s="2">
        <f t="shared" si="6"/>
        <v>0.13382091064230042</v>
      </c>
      <c r="F46" s="2">
        <f t="shared" si="8"/>
        <v>0.16841506437446657</v>
      </c>
      <c r="G46" s="2">
        <f t="shared" si="9"/>
        <v>0.67665139676933028</v>
      </c>
      <c r="H46" s="2">
        <f t="shared" si="10"/>
        <v>0.11395828854597949</v>
      </c>
      <c r="I46" s="7">
        <v>0.22500000000000001</v>
      </c>
    </row>
    <row r="47" spans="1:9" x14ac:dyDescent="0.25">
      <c r="A47" s="7">
        <v>0.23</v>
      </c>
      <c r="B47" s="2">
        <f t="shared" si="4"/>
        <v>0.84166501650003256</v>
      </c>
      <c r="C47" s="2">
        <f t="shared" si="7"/>
        <v>1.0003592173949747</v>
      </c>
      <c r="D47" s="2">
        <f t="shared" si="5"/>
        <v>0.13646502712123926</v>
      </c>
      <c r="E47" s="2">
        <f t="shared" si="6"/>
        <v>0.13641602411242479</v>
      </c>
      <c r="F47" s="2">
        <f t="shared" si="8"/>
        <v>0.17375266900411832</v>
      </c>
      <c r="G47" s="2">
        <f t="shared" si="9"/>
        <v>0.68482303796878885</v>
      </c>
      <c r="H47" s="2">
        <f t="shared" si="10"/>
        <v>0.11898983064258573</v>
      </c>
      <c r="I47" s="7">
        <v>0.23</v>
      </c>
    </row>
    <row r="48" spans="1:9" x14ac:dyDescent="0.25">
      <c r="A48" s="7">
        <v>0.23499999999999999</v>
      </c>
      <c r="B48" s="2">
        <f t="shared" si="4"/>
        <v>0.8479976415061542</v>
      </c>
      <c r="C48" s="2">
        <f t="shared" si="7"/>
        <v>1.012195761452096</v>
      </c>
      <c r="D48" s="2">
        <f t="shared" si="5"/>
        <v>0.14068925286345857</v>
      </c>
      <c r="E48" s="2">
        <f t="shared" si="6"/>
        <v>0.13899411380820817</v>
      </c>
      <c r="F48" s="2">
        <f t="shared" si="8"/>
        <v>0.17913112026500017</v>
      </c>
      <c r="G48" s="2">
        <f t="shared" si="9"/>
        <v>0.69288354911506256</v>
      </c>
      <c r="H48" s="2">
        <f t="shared" si="10"/>
        <v>0.12411700636617042</v>
      </c>
      <c r="I48" s="7">
        <v>0.23499999999999999</v>
      </c>
    </row>
    <row r="49" spans="1:9" x14ac:dyDescent="0.25">
      <c r="A49" s="7">
        <v>0.24</v>
      </c>
      <c r="B49" s="2">
        <f t="shared" si="4"/>
        <v>0.85416626016250496</v>
      </c>
      <c r="C49" s="2">
        <f t="shared" si="7"/>
        <v>1.0239453760989525</v>
      </c>
      <c r="D49" s="2">
        <f t="shared" si="5"/>
        <v>0.14494473020361248</v>
      </c>
      <c r="E49" s="2">
        <f t="shared" si="6"/>
        <v>0.14155513915774082</v>
      </c>
      <c r="F49" s="2">
        <f t="shared" si="8"/>
        <v>0.18454936229620855</v>
      </c>
      <c r="G49" s="2">
        <f t="shared" si="9"/>
        <v>0.70083538354914043</v>
      </c>
      <c r="H49" s="2">
        <f t="shared" si="10"/>
        <v>0.12933872310861261</v>
      </c>
      <c r="I49" s="7">
        <v>0.24</v>
      </c>
    </row>
    <row r="50" spans="1:9" x14ac:dyDescent="0.25">
      <c r="A50" s="7">
        <v>0.245</v>
      </c>
      <c r="B50" s="2">
        <f t="shared" si="4"/>
        <v>0.86017440092111552</v>
      </c>
      <c r="C50" s="2">
        <f t="shared" si="7"/>
        <v>1.0356115365192968</v>
      </c>
      <c r="D50" s="2">
        <f t="shared" si="5"/>
        <v>0.14923064801238198</v>
      </c>
      <c r="E50" s="2">
        <f t="shared" si="6"/>
        <v>0.14409905910661061</v>
      </c>
      <c r="F50" s="2">
        <f t="shared" si="8"/>
        <v>0.19000636233581855</v>
      </c>
      <c r="G50" s="2">
        <f t="shared" si="9"/>
        <v>0.70868087100112986</v>
      </c>
      <c r="H50" s="2">
        <f t="shared" si="10"/>
        <v>0.13465387435590417</v>
      </c>
      <c r="I50" s="7">
        <v>0.245</v>
      </c>
    </row>
    <row r="51" spans="1:9" x14ac:dyDescent="0.25">
      <c r="A51" s="7">
        <v>0.25</v>
      </c>
      <c r="B51" s="2">
        <f t="shared" si="4"/>
        <v>0.8660254037844386</v>
      </c>
      <c r="C51" s="2">
        <f t="shared" si="7"/>
        <v>1.0471975511965976</v>
      </c>
      <c r="D51" s="2">
        <f t="shared" si="5"/>
        <v>0.15354621232609458</v>
      </c>
      <c r="E51" s="2">
        <f t="shared" si="6"/>
        <v>0.14662583210841398</v>
      </c>
      <c r="F51" s="2">
        <f t="shared" si="8"/>
        <v>0.19550110947788529</v>
      </c>
      <c r="G51" s="2">
        <f t="shared" si="9"/>
        <v>0.71642222586982141</v>
      </c>
      <c r="H51" s="2">
        <f t="shared" si="10"/>
        <v>0.14006134001216622</v>
      </c>
      <c r="I51" s="7">
        <v>0.25</v>
      </c>
    </row>
    <row r="52" spans="1:9" x14ac:dyDescent="0.25">
      <c r="A52" s="7">
        <v>0.255</v>
      </c>
      <c r="B52" s="2">
        <f t="shared" si="4"/>
        <v>0.87172243288790041</v>
      </c>
      <c r="C52" s="2">
        <f t="shared" si="7"/>
        <v>1.0587065738607488</v>
      </c>
      <c r="D52" s="2">
        <f t="shared" si="5"/>
        <v>0.1578906454364194</v>
      </c>
      <c r="E52" s="2">
        <f t="shared" si="6"/>
        <v>0.14913541611501005</v>
      </c>
      <c r="F52" s="2">
        <f t="shared" si="8"/>
        <v>0.20103261351340762</v>
      </c>
      <c r="G52" s="2">
        <f t="shared" si="9"/>
        <v>0.72406155478224088</v>
      </c>
      <c r="H52" s="2">
        <f t="shared" si="10"/>
        <v>0.14555998670245526</v>
      </c>
      <c r="I52" s="7">
        <v>0.255</v>
      </c>
    </row>
    <row r="53" spans="1:9" x14ac:dyDescent="0.25">
      <c r="A53" s="7">
        <v>0.26</v>
      </c>
      <c r="B53" s="2">
        <f t="shared" si="4"/>
        <v>0.87726848797845236</v>
      </c>
      <c r="C53" s="2">
        <f t="shared" si="7"/>
        <v>1.0701416143903084</v>
      </c>
      <c r="D53" s="2">
        <f t="shared" si="5"/>
        <v>0.16226318504016282</v>
      </c>
      <c r="E53" s="2">
        <f t="shared" si="6"/>
        <v>0.15162776856650789</v>
      </c>
      <c r="F53" s="2">
        <f t="shared" si="8"/>
        <v>0.20659990384781438</v>
      </c>
      <c r="G53" s="2">
        <f t="shared" si="9"/>
        <v>0.7316008635084057</v>
      </c>
      <c r="H53" s="2">
        <f t="shared" si="10"/>
        <v>0.15114866805581459</v>
      </c>
      <c r="I53" s="7">
        <v>0.26</v>
      </c>
    </row>
    <row r="54" spans="1:9" x14ac:dyDescent="0.25">
      <c r="A54" s="7">
        <v>0.26500000000000001</v>
      </c>
      <c r="B54" s="2">
        <f t="shared" si="4"/>
        <v>0.88266641490429443</v>
      </c>
      <c r="C54" s="2">
        <f t="shared" si="7"/>
        <v>1.081505548780781</v>
      </c>
      <c r="D54" s="2">
        <f t="shared" si="5"/>
        <v>0.16666308344394065</v>
      </c>
      <c r="E54" s="2">
        <f t="shared" si="6"/>
        <v>0.1541028463809786</v>
      </c>
      <c r="F54" s="2">
        <f t="shared" si="8"/>
        <v>0.21220202848832143</v>
      </c>
      <c r="G54" s="2">
        <f t="shared" si="9"/>
        <v>0.73904206329733746</v>
      </c>
      <c r="H54" s="2">
        <f t="shared" si="10"/>
        <v>0.15682622496988946</v>
      </c>
      <c r="I54" s="7">
        <v>0.26500000000000001</v>
      </c>
    </row>
    <row r="55" spans="1:9" x14ac:dyDescent="0.25">
      <c r="A55" s="7">
        <v>0.27</v>
      </c>
      <c r="B55" s="2">
        <f t="shared" si="4"/>
        <v>0.88791891521692456</v>
      </c>
      <c r="C55" s="2">
        <f t="shared" si="7"/>
        <v>1.0928011282759444</v>
      </c>
      <c r="D55" s="2">
        <f t="shared" si="5"/>
        <v>0.17108960681903979</v>
      </c>
      <c r="E55" s="2">
        <f t="shared" si="6"/>
        <v>0.15656060594388199</v>
      </c>
      <c r="F55" s="2">
        <f t="shared" si="8"/>
        <v>0.21783805309519222</v>
      </c>
      <c r="G55" s="2">
        <f t="shared" si="9"/>
        <v>0.74638697669248466</v>
      </c>
      <c r="H55" s="2">
        <f t="shared" si="10"/>
        <v>0.16259148585829747</v>
      </c>
      <c r="I55" s="7">
        <v>0.27</v>
      </c>
    </row>
    <row r="56" spans="1:9" x14ac:dyDescent="0.25">
      <c r="A56" s="7">
        <v>0.27500000000000002</v>
      </c>
      <c r="B56" s="2">
        <f t="shared" si="4"/>
        <v>0.89302855497458766</v>
      </c>
      <c r="C56" s="2">
        <f t="shared" si="7"/>
        <v>1.1040309877476004</v>
      </c>
      <c r="D56" s="2">
        <f t="shared" si="5"/>
        <v>0.17554203450225903</v>
      </c>
      <c r="E56" s="2">
        <f t="shared" si="6"/>
        <v>0.15900100309719822</v>
      </c>
      <c r="F56" s="2">
        <f t="shared" si="8"/>
        <v>0.2235070600915405</v>
      </c>
      <c r="G56" s="2">
        <f t="shared" si="9"/>
        <v>0.75363734287787665</v>
      </c>
      <c r="H56" s="2">
        <f t="shared" si="10"/>
        <v>0.1684432668818345</v>
      </c>
      <c r="I56" s="7">
        <v>0.27500000000000002</v>
      </c>
    </row>
    <row r="57" spans="1:9" x14ac:dyDescent="0.25">
      <c r="A57" s="7">
        <v>0.28000000000000003</v>
      </c>
      <c r="B57" s="2">
        <f t="shared" si="4"/>
        <v>0.89799777282574589</v>
      </c>
      <c r="C57" s="2">
        <f t="shared" si="7"/>
        <v>1.1151976533990731</v>
      </c>
      <c r="D57" s="2">
        <f t="shared" si="5"/>
        <v>0.18001965833893624</v>
      </c>
      <c r="E57" s="2">
        <f t="shared" si="6"/>
        <v>0.16142399312825337</v>
      </c>
      <c r="F57" s="2">
        <f t="shared" si="8"/>
        <v>0.22920814782684673</v>
      </c>
      <c r="G57" s="2">
        <f t="shared" si="9"/>
        <v>0.7607948226004202</v>
      </c>
      <c r="H57" s="2">
        <f t="shared" si="10"/>
        <v>0.17438037216449676</v>
      </c>
      <c r="I57" s="7">
        <v>0.28000000000000003</v>
      </c>
    </row>
    <row r="58" spans="1:9" x14ac:dyDescent="0.25">
      <c r="A58" s="7">
        <v>0.28499999999999998</v>
      </c>
      <c r="B58" s="2">
        <f t="shared" si="4"/>
        <v>0.90282888744213319</v>
      </c>
      <c r="C58" s="2">
        <f t="shared" si="7"/>
        <v>1.1263035498590777</v>
      </c>
      <c r="D58" s="2">
        <f t="shared" si="5"/>
        <v>0.18452178206474007</v>
      </c>
      <c r="E58" s="2">
        <f t="shared" si="6"/>
        <v>0.16382953075822881</v>
      </c>
      <c r="F58" s="2">
        <f t="shared" si="8"/>
        <v>0.23494042978983057</v>
      </c>
      <c r="G58" s="2">
        <f t="shared" si="9"/>
        <v>0.76786100270860447</v>
      </c>
      <c r="H58" s="2">
        <f t="shared" si="10"/>
        <v>0.18040159399520977</v>
      </c>
      <c r="I58" s="7">
        <v>0.28499999999999998</v>
      </c>
    </row>
    <row r="59" spans="1:9" x14ac:dyDescent="0.25">
      <c r="A59" s="7">
        <v>0.28999999999999998</v>
      </c>
      <c r="B59" s="2">
        <f t="shared" si="4"/>
        <v>0.90752410436307418</v>
      </c>
      <c r="C59" s="2">
        <f t="shared" si="7"/>
        <v>1.1373510067250105</v>
      </c>
      <c r="D59" s="2">
        <f t="shared" si="5"/>
        <v>0.18904772072312984</v>
      </c>
      <c r="E59" s="2">
        <f t="shared" si="6"/>
        <v>0.16621757013034227</v>
      </c>
      <c r="F59" s="2">
        <f t="shared" si="8"/>
        <v>0.24070303386673803</v>
      </c>
      <c r="G59" s="2">
        <f t="shared" si="9"/>
        <v>0.77483740034340176</v>
      </c>
      <c r="H59" s="2">
        <f t="shared" si="10"/>
        <v>0.18650571301607308</v>
      </c>
      <c r="I59" s="7">
        <v>0.28999999999999998</v>
      </c>
    </row>
    <row r="60" spans="1:9" x14ac:dyDescent="0.25">
      <c r="A60" s="7">
        <v>0.29499999999999998</v>
      </c>
      <c r="B60" s="2">
        <f t="shared" si="4"/>
        <v>0.91208552230588547</v>
      </c>
      <c r="C60" s="2">
        <f t="shared" si="7"/>
        <v>1.1483422646081407</v>
      </c>
      <c r="D60" s="2">
        <f t="shared" si="5"/>
        <v>0.19359680011568192</v>
      </c>
      <c r="E60" s="2">
        <f t="shared" si="6"/>
        <v>0.16858806479768879</v>
      </c>
      <c r="F60" s="2">
        <f t="shared" si="8"/>
        <v>0.24649510164147515</v>
      </c>
      <c r="G60" s="2">
        <f t="shared" si="9"/>
        <v>0.7817254668132354</v>
      </c>
      <c r="H60" s="2">
        <f t="shared" si="10"/>
        <v>0.19269149839785807</v>
      </c>
      <c r="I60" s="7">
        <v>0.29499999999999998</v>
      </c>
    </row>
    <row r="61" spans="1:9" x14ac:dyDescent="0.25">
      <c r="A61" s="7">
        <v>0.3</v>
      </c>
      <c r="B61" s="2">
        <f t="shared" si="4"/>
        <v>0.91651513899116799</v>
      </c>
      <c r="C61" s="2">
        <f t="shared" si="7"/>
        <v>1.1592794807274085</v>
      </c>
      <c r="D61" s="2">
        <f t="shared" si="5"/>
        <v>0.19816835628273533</v>
      </c>
      <c r="E61" s="2">
        <f t="shared" si="6"/>
        <v>0.17094096771072961</v>
      </c>
      <c r="F61" s="2">
        <f t="shared" si="8"/>
        <v>0.25231578773434543</v>
      </c>
      <c r="G61" s="2">
        <f t="shared" si="9"/>
        <v>0.78852659118146506</v>
      </c>
      <c r="H61" s="2">
        <f t="shared" si="10"/>
        <v>0.19895770800342952</v>
      </c>
      <c r="I61" s="7">
        <v>0.3</v>
      </c>
    </row>
    <row r="62" spans="1:9" x14ac:dyDescent="0.25">
      <c r="A62" s="7">
        <v>0.31</v>
      </c>
      <c r="B62" s="2">
        <f t="shared" si="4"/>
        <v>0.92498648638777414</v>
      </c>
      <c r="C62" s="2">
        <f t="shared" si="7"/>
        <v>1.1810000303206358</v>
      </c>
      <c r="D62" s="2">
        <f t="shared" si="5"/>
        <v>0.20737629137332042</v>
      </c>
      <c r="E62" s="2">
        <f t="shared" si="6"/>
        <v>0.17559380698493188</v>
      </c>
      <c r="F62" s="2">
        <f t="shared" si="8"/>
        <v>0.26403969481703293</v>
      </c>
      <c r="G62" s="2">
        <f t="shared" si="9"/>
        <v>0.80187327835460187</v>
      </c>
      <c r="H62" s="2">
        <f t="shared" si="10"/>
        <v>0.21172637569868277</v>
      </c>
      <c r="I62" s="7">
        <v>0.31</v>
      </c>
    </row>
    <row r="63" spans="1:9" x14ac:dyDescent="0.25">
      <c r="A63" s="7">
        <v>0.32</v>
      </c>
      <c r="B63" s="2">
        <f t="shared" si="4"/>
        <v>0.93295230317524813</v>
      </c>
      <c r="C63" s="2">
        <f t="shared" si="7"/>
        <v>1.2025284333582569</v>
      </c>
      <c r="D63" s="2">
        <f t="shared" si="5"/>
        <v>0.2166664010537919</v>
      </c>
      <c r="E63" s="2">
        <f t="shared" si="6"/>
        <v>0.18017569900506686</v>
      </c>
      <c r="F63" s="2">
        <f t="shared" si="8"/>
        <v>0.27586822983713616</v>
      </c>
      <c r="G63" s="2">
        <f t="shared" si="9"/>
        <v>0.81488745001524432</v>
      </c>
      <c r="H63" s="2">
        <f t="shared" si="10"/>
        <v>0.22480155835220322</v>
      </c>
      <c r="I63" s="7">
        <v>0.32</v>
      </c>
    </row>
    <row r="64" spans="1:9" x14ac:dyDescent="0.25">
      <c r="A64" s="7">
        <v>0.33</v>
      </c>
      <c r="B64" s="2">
        <f t="shared" ref="B64:B95" si="11">SUM(2*((A64-A64^2)^0.5))</f>
        <v>0.9404254356406998</v>
      </c>
      <c r="C64" s="2">
        <f t="shared" si="7"/>
        <v>1.2238794292677349</v>
      </c>
      <c r="D64" s="2">
        <f t="shared" ref="D64:D95" si="12">SUM((C64*0.5-(B64*(0.5-A64)))/2)</f>
        <v>0.22603369528747425</v>
      </c>
      <c r="E64" s="2">
        <f t="shared" ref="E64:E95" si="13">SUM(D64/C64)</f>
        <v>0.18468624431633232</v>
      </c>
      <c r="F64" s="2">
        <f t="shared" si="8"/>
        <v>0.28779503928263023</v>
      </c>
      <c r="G64" s="2">
        <f t="shared" si="9"/>
        <v>0.82757828805823908</v>
      </c>
      <c r="H64" s="2">
        <f t="shared" si="10"/>
        <v>0.23817292592117278</v>
      </c>
      <c r="I64" s="7">
        <v>0.33</v>
      </c>
    </row>
    <row r="65" spans="1:9" x14ac:dyDescent="0.25">
      <c r="A65" s="7">
        <v>0.34</v>
      </c>
      <c r="B65" s="2">
        <f t="shared" si="11"/>
        <v>0.94741754258616084</v>
      </c>
      <c r="C65" s="2">
        <f t="shared" ref="C65:C81" si="14">ASIN(((B65)))</f>
        <v>1.2450668395002662</v>
      </c>
      <c r="D65" s="2">
        <f t="shared" si="12"/>
        <v>0.23547330646817369</v>
      </c>
      <c r="E65" s="2">
        <f t="shared" si="13"/>
        <v>0.18912503248635701</v>
      </c>
      <c r="F65" s="2">
        <f t="shared" si="8"/>
        <v>0.29981392552482089</v>
      </c>
      <c r="G65" s="2">
        <f t="shared" si="9"/>
        <v>0.83995424510731898</v>
      </c>
      <c r="H65" s="2">
        <f t="shared" si="10"/>
        <v>0.25182997948686286</v>
      </c>
      <c r="I65" s="7">
        <v>0.34</v>
      </c>
    </row>
    <row r="66" spans="1:9" x14ac:dyDescent="0.25">
      <c r="A66" s="7">
        <v>0.35</v>
      </c>
      <c r="B66" s="2">
        <f t="shared" si="11"/>
        <v>0.95393920141694566</v>
      </c>
      <c r="C66" s="2">
        <f t="shared" si="14"/>
        <v>1.2661036727794992</v>
      </c>
      <c r="D66" s="2">
        <f t="shared" si="12"/>
        <v>0.24498047808860385</v>
      </c>
      <c r="E66" s="2">
        <f t="shared" si="13"/>
        <v>0.19349164160529919</v>
      </c>
      <c r="F66" s="2">
        <f t="shared" ref="F66:F97" si="15">SUM(D66/0.25)/PI()</f>
        <v>0.31191883239053647</v>
      </c>
      <c r="G66" s="2">
        <f t="shared" ref="G66:G97" si="16">SUM((E66)/(0.25))^0.625</f>
        <v>0.85202311149553145</v>
      </c>
      <c r="H66" s="2">
        <f t="shared" ref="H66:H97" si="17">SUM((E66/0.25)^0.625)*F66</f>
        <v>0.26576205410743803</v>
      </c>
      <c r="I66" s="7">
        <v>0.35</v>
      </c>
    </row>
    <row r="67" spans="1:9" x14ac:dyDescent="0.25">
      <c r="A67" s="7">
        <v>0.36</v>
      </c>
      <c r="B67" s="2">
        <f t="shared" si="11"/>
        <v>0.96</v>
      </c>
      <c r="C67" s="2">
        <f t="shared" si="14"/>
        <v>1.2870022175865685</v>
      </c>
      <c r="D67" s="2">
        <f t="shared" si="12"/>
        <v>0.25455055439664209</v>
      </c>
      <c r="E67" s="2">
        <f t="shared" si="13"/>
        <v>0.19778563775436547</v>
      </c>
      <c r="F67" s="2">
        <f t="shared" si="15"/>
        <v>0.32410383199206383</v>
      </c>
      <c r="G67" s="2">
        <f t="shared" si="16"/>
        <v>0.8637920737435959</v>
      </c>
      <c r="H67" s="2">
        <f t="shared" si="17"/>
        <v>0.27995832114467084</v>
      </c>
      <c r="I67" s="7">
        <v>0.36</v>
      </c>
    </row>
    <row r="68" spans="1:9" x14ac:dyDescent="0.25">
      <c r="A68" s="7">
        <v>0.37</v>
      </c>
      <c r="B68" s="2">
        <f t="shared" si="11"/>
        <v>0.96560861636586492</v>
      </c>
      <c r="C68" s="2">
        <f t="shared" si="14"/>
        <v>1.307774123886428</v>
      </c>
      <c r="D68" s="2">
        <f t="shared" si="12"/>
        <v>0.26417897090782577</v>
      </c>
      <c r="E68" s="2">
        <f t="shared" si="13"/>
        <v>0.20200657444019596</v>
      </c>
      <c r="F68" s="2">
        <f t="shared" si="15"/>
        <v>0.33636311264728391</v>
      </c>
      <c r="G68" s="2">
        <f t="shared" si="16"/>
        <v>0.8752677657743636</v>
      </c>
      <c r="H68" s="2">
        <f t="shared" si="17"/>
        <v>0.29440779009569878</v>
      </c>
      <c r="I68" s="7">
        <v>0.37</v>
      </c>
    </row>
    <row r="69" spans="1:9" x14ac:dyDescent="0.25">
      <c r="A69" s="7">
        <v>0.38</v>
      </c>
      <c r="B69" s="2">
        <f t="shared" si="11"/>
        <v>0.97077288796092776</v>
      </c>
      <c r="C69" s="2">
        <f t="shared" si="14"/>
        <v>1.3284304757559333</v>
      </c>
      <c r="D69" s="2">
        <f t="shared" si="12"/>
        <v>0.27386124566132763</v>
      </c>
      <c r="E69" s="2">
        <f t="shared" si="13"/>
        <v>0.2061539919923088</v>
      </c>
      <c r="F69" s="2">
        <f t="shared" si="15"/>
        <v>0.34869096774643338</v>
      </c>
      <c r="G69" s="2">
        <f t="shared" si="16"/>
        <v>0.88645631388817836</v>
      </c>
      <c r="H69" s="2">
        <f t="shared" si="17"/>
        <v>0.30909930995460505</v>
      </c>
      <c r="I69" s="7">
        <v>0.38</v>
      </c>
    </row>
    <row r="70" spans="1:9" x14ac:dyDescent="0.25">
      <c r="A70" s="7">
        <v>0.39</v>
      </c>
      <c r="B70" s="2">
        <f t="shared" si="11"/>
        <v>0.97549987186057585</v>
      </c>
      <c r="C70" s="2">
        <f t="shared" si="14"/>
        <v>1.348981856298102</v>
      </c>
      <c r="D70" s="2">
        <f t="shared" si="12"/>
        <v>0.28359297112219384</v>
      </c>
      <c r="E70" s="2">
        <f t="shared" si="13"/>
        <v>0.21022741692051686</v>
      </c>
      <c r="F70" s="2">
        <f t="shared" si="15"/>
        <v>0.36108178544171421</v>
      </c>
      <c r="G70" s="2">
        <f t="shared" si="16"/>
        <v>0.8973633763514991</v>
      </c>
      <c r="H70" s="2">
        <f t="shared" si="17"/>
        <v>0.32402157012300425</v>
      </c>
      <c r="I70" s="7">
        <v>0.39</v>
      </c>
    </row>
    <row r="71" spans="1:9" x14ac:dyDescent="0.25">
      <c r="A71" s="7">
        <v>0.4</v>
      </c>
      <c r="B71" s="2">
        <f t="shared" si="11"/>
        <v>0.9797958971132712</v>
      </c>
      <c r="C71" s="2">
        <f t="shared" si="14"/>
        <v>1.3694384060045657</v>
      </c>
      <c r="D71" s="2">
        <f t="shared" si="12"/>
        <v>0.29336980664547785</v>
      </c>
      <c r="E71" s="2">
        <f t="shared" si="13"/>
        <v>0.21422636122891076</v>
      </c>
      <c r="F71" s="2">
        <f t="shared" si="15"/>
        <v>0.37353003905233095</v>
      </c>
      <c r="G71" s="2">
        <f t="shared" si="16"/>
        <v>0.90799417831085527</v>
      </c>
      <c r="H71" s="2">
        <f t="shared" si="17"/>
        <v>0.33916310088374291</v>
      </c>
      <c r="I71" s="7">
        <v>0.4</v>
      </c>
    </row>
    <row r="72" spans="1:9" x14ac:dyDescent="0.25">
      <c r="A72" s="7">
        <v>0.41</v>
      </c>
      <c r="B72" s="2">
        <f t="shared" si="11"/>
        <v>0.98366661018863499</v>
      </c>
      <c r="C72" s="2">
        <f t="shared" si="14"/>
        <v>1.3898098755483488</v>
      </c>
      <c r="D72" s="2">
        <f t="shared" si="12"/>
        <v>0.30318747142859859</v>
      </c>
      <c r="E72" s="2">
        <f t="shared" si="13"/>
        <v>0.21815032168265183</v>
      </c>
      <c r="F72" s="2">
        <f t="shared" si="15"/>
        <v>0.38603027809115403</v>
      </c>
      <c r="G72" s="2">
        <f t="shared" si="16"/>
        <v>0.9183535426293733</v>
      </c>
      <c r="H72" s="2">
        <f t="shared" si="17"/>
        <v>0.35451227344721348</v>
      </c>
      <c r="I72" s="7">
        <v>0.41</v>
      </c>
    </row>
    <row r="73" spans="1:9" x14ac:dyDescent="0.25">
      <c r="A73" s="7">
        <v>0.42</v>
      </c>
      <c r="B73" s="2">
        <f t="shared" si="11"/>
        <v>0.98711701434024535</v>
      </c>
      <c r="C73" s="2">
        <f t="shared" si="14"/>
        <v>1.4101056738429865</v>
      </c>
      <c r="D73" s="2">
        <f t="shared" si="12"/>
        <v>0.3130417378871368</v>
      </c>
      <c r="E73" s="2">
        <f t="shared" si="13"/>
        <v>0.2219987790234178</v>
      </c>
      <c r="F73" s="2">
        <f t="shared" si="15"/>
        <v>0.39857711983052219</v>
      </c>
      <c r="G73" s="2">
        <f t="shared" si="16"/>
        <v>0.92844591714850411</v>
      </c>
      <c r="H73" s="2">
        <f t="shared" si="17"/>
        <v>0.37005729957545841</v>
      </c>
      <c r="I73" s="7">
        <v>0.42</v>
      </c>
    </row>
    <row r="74" spans="1:9" x14ac:dyDescent="0.25">
      <c r="A74" s="7">
        <v>0.43</v>
      </c>
      <c r="B74" s="2">
        <f t="shared" si="11"/>
        <v>0.99015150355892512</v>
      </c>
      <c r="C74" s="2">
        <f t="shared" si="14"/>
        <v>1.4303349120850413</v>
      </c>
      <c r="D74" s="2">
        <f t="shared" si="12"/>
        <v>0.32292842539669792</v>
      </c>
      <c r="E74" s="2">
        <f t="shared" si="13"/>
        <v>0.22577119712889876</v>
      </c>
      <c r="F74" s="2">
        <f t="shared" si="15"/>
        <v>0.41116524133413462</v>
      </c>
      <c r="G74" s="2">
        <f t="shared" si="16"/>
        <v>0.93827539879917776</v>
      </c>
      <c r="H74" s="2">
        <f t="shared" si="17"/>
        <v>0.38578623078514535</v>
      </c>
      <c r="I74" s="7">
        <v>0.43</v>
      </c>
    </row>
    <row r="75" spans="1:9" x14ac:dyDescent="0.25">
      <c r="A75" s="7">
        <v>0.44</v>
      </c>
      <c r="B75" s="2">
        <f t="shared" si="11"/>
        <v>0.99277389167926855</v>
      </c>
      <c r="C75" s="2">
        <f t="shared" si="14"/>
        <v>1.4505064444001088</v>
      </c>
      <c r="D75" s="2">
        <f t="shared" si="12"/>
        <v>0.33284339434964916</v>
      </c>
      <c r="E75" s="2">
        <f t="shared" si="13"/>
        <v>0.22946702211123537</v>
      </c>
      <c r="F75" s="2">
        <f t="shared" si="15"/>
        <v>0.42378937188985355</v>
      </c>
      <c r="G75" s="2">
        <f t="shared" si="16"/>
        <v>0.94784575492121559</v>
      </c>
      <c r="H75" s="2">
        <f t="shared" si="17"/>
        <v>0.40168695712652602</v>
      </c>
      <c r="I75" s="7">
        <v>0.44</v>
      </c>
    </row>
    <row r="76" spans="1:9" x14ac:dyDescent="0.25">
      <c r="A76" s="7">
        <v>0.45</v>
      </c>
      <c r="B76" s="2">
        <f t="shared" si="11"/>
        <v>0.99498743710661997</v>
      </c>
      <c r="C76" s="2">
        <f t="shared" si="14"/>
        <v>1.470628905633337</v>
      </c>
      <c r="D76" s="2">
        <f t="shared" si="12"/>
        <v>0.34278254048066875</v>
      </c>
      <c r="E76" s="2">
        <f t="shared" si="13"/>
        <v>0.23308568134871996</v>
      </c>
      <c r="F76" s="2">
        <f t="shared" si="15"/>
        <v>0.43644428578476918</v>
      </c>
      <c r="G76" s="2">
        <f t="shared" si="16"/>
        <v>0.95716044209493456</v>
      </c>
      <c r="H76" s="2">
        <f t="shared" si="17"/>
        <v>0.41774720553155764</v>
      </c>
      <c r="I76" s="7">
        <v>0.45</v>
      </c>
    </row>
    <row r="77" spans="1:9" x14ac:dyDescent="0.25">
      <c r="A77" s="7">
        <v>0.46</v>
      </c>
      <c r="B77" s="2">
        <f t="shared" si="11"/>
        <v>0.996794863550169</v>
      </c>
      <c r="C77" s="2">
        <f t="shared" si="14"/>
        <v>1.4907107467612377</v>
      </c>
      <c r="D77" s="2">
        <f t="shared" si="12"/>
        <v>0.35274178941930606</v>
      </c>
      <c r="E77" s="2">
        <f t="shared" si="13"/>
        <v>0.23662658244443688</v>
      </c>
      <c r="F77" s="2">
        <f t="shared" si="15"/>
        <v>0.44912479536930389</v>
      </c>
      <c r="G77" s="2">
        <f t="shared" si="16"/>
        <v>0.96622262274249737</v>
      </c>
      <c r="H77" s="2">
        <f t="shared" si="17"/>
        <v>0.43395453772041626</v>
      </c>
      <c r="I77" s="7">
        <v>0.46</v>
      </c>
    </row>
    <row r="78" spans="1:9" x14ac:dyDescent="0.25">
      <c r="A78" s="7">
        <v>0.47</v>
      </c>
      <c r="B78" s="2">
        <f t="shared" si="11"/>
        <v>0.99819837707742243</v>
      </c>
      <c r="C78" s="2">
        <f t="shared" si="14"/>
        <v>1.5107602683496182</v>
      </c>
      <c r="D78" s="2">
        <f t="shared" si="12"/>
        <v>0.3627170914312432</v>
      </c>
      <c r="E78" s="2">
        <f t="shared" si="13"/>
        <v>0.24008911210478279</v>
      </c>
      <c r="F78" s="2">
        <f t="shared" si="15"/>
        <v>0.46182574436157847</v>
      </c>
      <c r="G78" s="2">
        <f t="shared" si="16"/>
        <v>0.97503517971706299</v>
      </c>
      <c r="H78" s="2">
        <f t="shared" si="17"/>
        <v>0.45029634765155807</v>
      </c>
      <c r="I78" s="7">
        <v>0.47</v>
      </c>
    </row>
    <row r="79" spans="1:9" x14ac:dyDescent="0.25">
      <c r="A79" s="7">
        <v>0.48</v>
      </c>
      <c r="B79" s="2">
        <f t="shared" si="11"/>
        <v>0.99919967974374369</v>
      </c>
      <c r="C79" s="2">
        <f t="shared" si="14"/>
        <v>1.5307856524409069</v>
      </c>
      <c r="D79" s="2">
        <f t="shared" si="12"/>
        <v>0.37270441631278928</v>
      </c>
      <c r="E79" s="2">
        <f t="shared" si="13"/>
        <v>0.24347263492997548</v>
      </c>
      <c r="F79" s="2">
        <f t="shared" si="15"/>
        <v>0.4745420013468804</v>
      </c>
      <c r="G79" s="2">
        <f t="shared" si="16"/>
        <v>0.98360072906391971</v>
      </c>
      <c r="H79" s="2">
        <f t="shared" si="17"/>
        <v>0.46675985849624313</v>
      </c>
      <c r="I79" s="7">
        <v>0.48</v>
      </c>
    </row>
    <row r="80" spans="1:9" x14ac:dyDescent="0.25">
      <c r="A80" s="7">
        <v>0.49</v>
      </c>
      <c r="B80" s="2">
        <f t="shared" si="11"/>
        <v>0.99979997999599901</v>
      </c>
      <c r="C80" s="2">
        <f t="shared" si="14"/>
        <v>1.5507949932215066</v>
      </c>
      <c r="D80" s="2">
        <f t="shared" si="12"/>
        <v>0.38269974840539667</v>
      </c>
      <c r="E80" s="2">
        <f t="shared" si="13"/>
        <v>0.24677649210770572</v>
      </c>
      <c r="F80" s="2">
        <f t="shared" si="15"/>
        <v>0.48726845342994857</v>
      </c>
      <c r="G80" s="2">
        <f t="shared" si="16"/>
        <v>0.99192163110843501</v>
      </c>
      <c r="H80" s="2">
        <f t="shared" si="17"/>
        <v>0.4833321191139191</v>
      </c>
      <c r="I80" s="7">
        <v>0.49</v>
      </c>
    </row>
    <row r="81" spans="1:9" ht="15.75" thickBot="1" x14ac:dyDescent="0.3">
      <c r="A81" s="8">
        <v>0.5</v>
      </c>
      <c r="B81" s="9">
        <f t="shared" si="11"/>
        <v>1</v>
      </c>
      <c r="C81" s="9">
        <f t="shared" si="14"/>
        <v>1.5707963267948966</v>
      </c>
      <c r="D81" s="9">
        <f t="shared" si="12"/>
        <v>0.39269908169872414</v>
      </c>
      <c r="E81" s="9">
        <f t="shared" si="13"/>
        <v>0.25</v>
      </c>
      <c r="F81" s="9">
        <f t="shared" si="15"/>
        <v>0.5</v>
      </c>
      <c r="G81" s="9">
        <f t="shared" si="16"/>
        <v>1</v>
      </c>
      <c r="H81" s="9">
        <f t="shared" si="17"/>
        <v>0.5</v>
      </c>
      <c r="I81" s="8">
        <v>0.5</v>
      </c>
    </row>
    <row r="82" spans="1:9" x14ac:dyDescent="0.25">
      <c r="A82" s="6">
        <v>0.51</v>
      </c>
      <c r="B82" s="3">
        <f t="shared" si="11"/>
        <v>0.99979997999599901</v>
      </c>
      <c r="C82" s="3">
        <f t="shared" ref="C82:C112" si="18">(C$81-ASIN(((B82))))+C$81</f>
        <v>1.5907976603682865</v>
      </c>
      <c r="D82" s="3">
        <f t="shared" si="12"/>
        <v>0.40269841499205161</v>
      </c>
      <c r="E82" s="3">
        <f t="shared" si="13"/>
        <v>0.25314244861211493</v>
      </c>
      <c r="F82" s="3">
        <f t="shared" si="15"/>
        <v>0.51273154657005138</v>
      </c>
      <c r="G82" s="3">
        <f t="shared" si="16"/>
        <v>1.0078377118184298</v>
      </c>
      <c r="H82" s="3">
        <f t="shared" si="17"/>
        <v>0.51675018867228528</v>
      </c>
      <c r="I82" s="6">
        <v>0.51</v>
      </c>
    </row>
    <row r="83" spans="1:9" x14ac:dyDescent="0.25">
      <c r="A83" s="7">
        <v>0.52</v>
      </c>
      <c r="B83" s="2">
        <f t="shared" si="11"/>
        <v>0.99919967974374369</v>
      </c>
      <c r="C83" s="2">
        <f t="shared" si="18"/>
        <v>1.6108070011488862</v>
      </c>
      <c r="D83" s="2">
        <f t="shared" si="12"/>
        <v>0.412693747084659</v>
      </c>
      <c r="E83" s="2">
        <f t="shared" si="13"/>
        <v>0.25620309993084883</v>
      </c>
      <c r="F83" s="2">
        <f t="shared" si="15"/>
        <v>0.5254579986531196</v>
      </c>
      <c r="G83" s="2">
        <f t="shared" si="16"/>
        <v>1.0154364113288941</v>
      </c>
      <c r="H83" s="2">
        <f t="shared" si="17"/>
        <v>0.53356918445638657</v>
      </c>
      <c r="I83" s="7">
        <v>0.52</v>
      </c>
    </row>
    <row r="84" spans="1:9" x14ac:dyDescent="0.25">
      <c r="A84" s="7">
        <v>0.53</v>
      </c>
      <c r="B84" s="2">
        <f t="shared" si="11"/>
        <v>0.99819837707742243</v>
      </c>
      <c r="C84" s="2">
        <f t="shared" si="18"/>
        <v>1.6308323852401749</v>
      </c>
      <c r="D84" s="2">
        <f t="shared" si="12"/>
        <v>0.42268107196620508</v>
      </c>
      <c r="E84" s="2">
        <f t="shared" si="13"/>
        <v>0.25918118611800578</v>
      </c>
      <c r="F84" s="2">
        <f t="shared" si="15"/>
        <v>0.53817425563842147</v>
      </c>
      <c r="G84" s="2">
        <f t="shared" si="16"/>
        <v>1.0227975174528749</v>
      </c>
      <c r="H84" s="2">
        <f t="shared" si="17"/>
        <v>0.55044329262402636</v>
      </c>
      <c r="I84" s="7">
        <v>0.53</v>
      </c>
    </row>
    <row r="85" spans="1:9" x14ac:dyDescent="0.25">
      <c r="A85" s="7">
        <v>0.54</v>
      </c>
      <c r="B85" s="2">
        <f t="shared" si="11"/>
        <v>0.996794863550169</v>
      </c>
      <c r="C85" s="2">
        <f t="shared" si="18"/>
        <v>1.6508819068285554</v>
      </c>
      <c r="D85" s="2">
        <f t="shared" si="12"/>
        <v>0.43265637397814227</v>
      </c>
      <c r="E85" s="2">
        <f t="shared" si="13"/>
        <v>0.26207590754283661</v>
      </c>
      <c r="F85" s="2">
        <f t="shared" si="15"/>
        <v>0.55087520463069617</v>
      </c>
      <c r="G85" s="2">
        <f t="shared" si="16"/>
        <v>1.0299222275053959</v>
      </c>
      <c r="H85" s="2">
        <f t="shared" si="17"/>
        <v>0.56735861783073738</v>
      </c>
      <c r="I85" s="7">
        <v>0.54</v>
      </c>
    </row>
    <row r="86" spans="1:9" x14ac:dyDescent="0.25">
      <c r="A86" s="7">
        <v>0.55000000000000004</v>
      </c>
      <c r="B86" s="2">
        <f t="shared" si="11"/>
        <v>0.99498743710661997</v>
      </c>
      <c r="C86" s="2">
        <f t="shared" si="18"/>
        <v>1.6709637479564561</v>
      </c>
      <c r="D86" s="2">
        <f t="shared" si="12"/>
        <v>0.44261562291677953</v>
      </c>
      <c r="E86" s="2">
        <f t="shared" si="13"/>
        <v>0.26488643063506706</v>
      </c>
      <c r="F86" s="2">
        <f t="shared" si="15"/>
        <v>0.56355571421523087</v>
      </c>
      <c r="G86" s="2">
        <f t="shared" si="16"/>
        <v>1.036811520232418</v>
      </c>
      <c r="H86" s="2">
        <f t="shared" si="17"/>
        <v>0.58430105679115962</v>
      </c>
      <c r="I86" s="7">
        <v>0.55000000000000004</v>
      </c>
    </row>
    <row r="87" spans="1:9" x14ac:dyDescent="0.25">
      <c r="A87" s="7">
        <v>0.56000000000000005</v>
      </c>
      <c r="B87" s="2">
        <f t="shared" si="11"/>
        <v>0.99277389167926855</v>
      </c>
      <c r="C87" s="2">
        <f t="shared" si="18"/>
        <v>1.6910862091896843</v>
      </c>
      <c r="D87" s="2">
        <f t="shared" si="12"/>
        <v>0.45255476904779918</v>
      </c>
      <c r="E87" s="2">
        <f t="shared" si="13"/>
        <v>0.26761188553755</v>
      </c>
      <c r="F87" s="2">
        <f t="shared" si="15"/>
        <v>0.57621062811014656</v>
      </c>
      <c r="G87" s="2">
        <f t="shared" si="16"/>
        <v>1.043466157666481</v>
      </c>
      <c r="H87" s="2">
        <f t="shared" si="17"/>
        <v>0.60125629012068427</v>
      </c>
      <c r="I87" s="7">
        <v>0.56000000000000005</v>
      </c>
    </row>
    <row r="88" spans="1:9" x14ac:dyDescent="0.25">
      <c r="A88" s="7">
        <v>0.56999999999999995</v>
      </c>
      <c r="B88" s="2">
        <f t="shared" si="11"/>
        <v>0.99015150355892501</v>
      </c>
      <c r="C88" s="2">
        <f t="shared" si="18"/>
        <v>1.7112577415047527</v>
      </c>
      <c r="D88" s="2">
        <f t="shared" si="12"/>
        <v>0.46246973800075053</v>
      </c>
      <c r="E88" s="2">
        <f t="shared" si="13"/>
        <v>0.27025136353457141</v>
      </c>
      <c r="F88" s="2">
        <f t="shared" si="15"/>
        <v>0.58883475866586554</v>
      </c>
      <c r="G88" s="2">
        <f t="shared" si="16"/>
        <v>1.0498866858029354</v>
      </c>
      <c r="H88" s="2">
        <f t="shared" si="17"/>
        <v>0.61820977326127691</v>
      </c>
      <c r="I88" s="7">
        <v>0.56999999999999995</v>
      </c>
    </row>
    <row r="89" spans="1:9" x14ac:dyDescent="0.25">
      <c r="A89" s="7">
        <v>0.57999999999999996</v>
      </c>
      <c r="B89" s="2">
        <f t="shared" si="11"/>
        <v>0.98711701434024524</v>
      </c>
      <c r="C89" s="2">
        <f t="shared" si="18"/>
        <v>1.7314869797468073</v>
      </c>
      <c r="D89" s="2">
        <f t="shared" si="12"/>
        <v>0.47235642551031165</v>
      </c>
      <c r="E89" s="2">
        <f t="shared" si="13"/>
        <v>0.27280391422832623</v>
      </c>
      <c r="F89" s="2">
        <f t="shared" si="15"/>
        <v>0.60142288016947798</v>
      </c>
      <c r="G89" s="2">
        <f t="shared" si="16"/>
        <v>1.0560734340831643</v>
      </c>
      <c r="H89" s="2">
        <f t="shared" si="17"/>
        <v>0.63514672639676806</v>
      </c>
      <c r="I89" s="7">
        <v>0.57999999999999996</v>
      </c>
    </row>
    <row r="90" spans="1:9" x14ac:dyDescent="0.25">
      <c r="A90" s="7">
        <v>0.59</v>
      </c>
      <c r="B90" s="2">
        <f t="shared" si="11"/>
        <v>0.98366661018863499</v>
      </c>
      <c r="C90" s="2">
        <f t="shared" si="18"/>
        <v>1.7517827780414443</v>
      </c>
      <c r="D90" s="2">
        <f t="shared" si="12"/>
        <v>0.48221069196884964</v>
      </c>
      <c r="E90" s="2">
        <f t="shared" si="13"/>
        <v>0.27526854243194376</v>
      </c>
      <c r="F90" s="2">
        <f t="shared" si="15"/>
        <v>0.61396972190884591</v>
      </c>
      <c r="G90" s="2">
        <f t="shared" si="16"/>
        <v>1.0620265136545284</v>
      </c>
      <c r="H90" s="2">
        <f t="shared" si="17"/>
        <v>0.65205212324829198</v>
      </c>
      <c r="I90" s="7">
        <v>0.59</v>
      </c>
    </row>
    <row r="91" spans="1:9" x14ac:dyDescent="0.25">
      <c r="A91" s="7">
        <v>0.6</v>
      </c>
      <c r="B91" s="2">
        <f t="shared" si="11"/>
        <v>0.9797958971132712</v>
      </c>
      <c r="C91" s="2">
        <f t="shared" si="18"/>
        <v>1.7721542475852274</v>
      </c>
      <c r="D91" s="2">
        <f t="shared" si="12"/>
        <v>0.49202835675197043</v>
      </c>
      <c r="E91" s="2">
        <f t="shared" si="13"/>
        <v>0.2776442047425714</v>
      </c>
      <c r="F91" s="2">
        <f t="shared" si="15"/>
        <v>0.62646996094766905</v>
      </c>
      <c r="G91" s="2">
        <f t="shared" si="16"/>
        <v>1.0677458143590188</v>
      </c>
      <c r="H91" s="2">
        <f t="shared" si="17"/>
        <v>0.6689106786235316</v>
      </c>
      <c r="I91" s="7">
        <v>0.6</v>
      </c>
    </row>
    <row r="92" spans="1:9" x14ac:dyDescent="0.25">
      <c r="A92" s="7">
        <v>0.61</v>
      </c>
      <c r="B92" s="2">
        <f t="shared" si="11"/>
        <v>0.97549987186057585</v>
      </c>
      <c r="C92" s="2">
        <f t="shared" si="18"/>
        <v>1.7926107972916911</v>
      </c>
      <c r="D92" s="2">
        <f t="shared" si="12"/>
        <v>0.50180519227525444</v>
      </c>
      <c r="E92" s="2">
        <f t="shared" si="13"/>
        <v>0.27992980575225296</v>
      </c>
      <c r="F92" s="2">
        <f t="shared" si="15"/>
        <v>0.63891821455828579</v>
      </c>
      <c r="G92" s="2">
        <f t="shared" si="16"/>
        <v>1.0732310003832246</v>
      </c>
      <c r="H92" s="2">
        <f t="shared" si="17"/>
        <v>0.68570683457345283</v>
      </c>
      <c r="I92" s="7">
        <v>0.61</v>
      </c>
    </row>
    <row r="93" spans="1:9" x14ac:dyDescent="0.25">
      <c r="A93" s="7">
        <v>0.62</v>
      </c>
      <c r="B93" s="2">
        <f t="shared" si="11"/>
        <v>0.97077288796092776</v>
      </c>
      <c r="C93" s="2">
        <f t="shared" si="18"/>
        <v>1.8131621778338598</v>
      </c>
      <c r="D93" s="2">
        <f t="shared" si="12"/>
        <v>0.51153691773612064</v>
      </c>
      <c r="E93" s="2">
        <f t="shared" si="13"/>
        <v>0.282124193847481</v>
      </c>
      <c r="F93" s="2">
        <f t="shared" si="15"/>
        <v>0.65130903225356662</v>
      </c>
      <c r="G93" s="2">
        <f t="shared" si="16"/>
        <v>1.0784815044806575</v>
      </c>
      <c r="H93" s="2">
        <f t="shared" si="17"/>
        <v>0.70242474498666763</v>
      </c>
      <c r="I93" s="7">
        <v>0.62</v>
      </c>
    </row>
    <row r="94" spans="1:9" x14ac:dyDescent="0.25">
      <c r="A94" s="7">
        <v>0.63</v>
      </c>
      <c r="B94" s="2">
        <f t="shared" si="11"/>
        <v>0.96560861636586481</v>
      </c>
      <c r="C94" s="2">
        <f t="shared" si="18"/>
        <v>1.8338185297033656</v>
      </c>
      <c r="D94" s="2">
        <f t="shared" si="12"/>
        <v>0.52121919248962256</v>
      </c>
      <c r="E94" s="2">
        <f t="shared" si="13"/>
        <v>0.28422615654010969</v>
      </c>
      <c r="F94" s="2">
        <f t="shared" si="15"/>
        <v>0.6636368873527162</v>
      </c>
      <c r="G94" s="2">
        <f t="shared" si="16"/>
        <v>1.0834965206530323</v>
      </c>
      <c r="H94" s="2">
        <f t="shared" si="17"/>
        <v>0.71904825842367626</v>
      </c>
      <c r="I94" s="7">
        <v>0.63</v>
      </c>
    </row>
    <row r="95" spans="1:9" x14ac:dyDescent="0.25">
      <c r="A95" s="7">
        <v>0.64</v>
      </c>
      <c r="B95" s="2">
        <f t="shared" si="11"/>
        <v>0.96</v>
      </c>
      <c r="C95" s="2">
        <f t="shared" si="18"/>
        <v>1.8545904360032246</v>
      </c>
      <c r="D95" s="2">
        <f t="shared" si="12"/>
        <v>0.53084760900080619</v>
      </c>
      <c r="E95" s="2">
        <f t="shared" si="13"/>
        <v>0.28623441526249904</v>
      </c>
      <c r="F95" s="2">
        <f t="shared" si="15"/>
        <v>0.67589616800793617</v>
      </c>
      <c r="G95" s="2">
        <f t="shared" si="16"/>
        <v>1.088274995148969</v>
      </c>
      <c r="H95" s="2">
        <f t="shared" si="17"/>
        <v>0.73556089896004351</v>
      </c>
      <c r="I95" s="7">
        <v>0.64</v>
      </c>
    </row>
    <row r="96" spans="1:9" x14ac:dyDescent="0.25">
      <c r="A96" s="7">
        <v>0.65</v>
      </c>
      <c r="B96" s="2">
        <f t="shared" ref="B96:B119" si="19">SUM(2*((A96-A96^2)^0.5))</f>
        <v>0.95393920141694566</v>
      </c>
      <c r="C96" s="2">
        <f t="shared" si="18"/>
        <v>1.8754889808102939</v>
      </c>
      <c r="D96" s="2">
        <f t="shared" ref="D96:D119" si="20">SUM((C96*0.5-(B96*(0.5-A96)))/2)</f>
        <v>0.54041768530884438</v>
      </c>
      <c r="E96" s="2">
        <f t="shared" ref="E96:E119" si="21">SUM(D96/C96)</f>
        <v>0.2881476195479219</v>
      </c>
      <c r="F96" s="2">
        <f t="shared" si="15"/>
        <v>0.68808116760946347</v>
      </c>
      <c r="G96" s="2">
        <f t="shared" si="16"/>
        <v>1.0928156156057027</v>
      </c>
      <c r="H96" s="2">
        <f t="shared" si="17"/>
        <v>0.75194584476782655</v>
      </c>
      <c r="I96" s="7">
        <v>0.65</v>
      </c>
    </row>
    <row r="97" spans="1:9" x14ac:dyDescent="0.25">
      <c r="A97" s="7">
        <v>0.66</v>
      </c>
      <c r="B97" s="2">
        <f t="shared" si="19"/>
        <v>0.94741754258616084</v>
      </c>
      <c r="C97" s="2">
        <f t="shared" si="18"/>
        <v>1.8965258140895269</v>
      </c>
      <c r="D97" s="2">
        <f t="shared" si="20"/>
        <v>0.54992485692927462</v>
      </c>
      <c r="E97" s="2">
        <f t="shared" si="21"/>
        <v>0.2899643405029419</v>
      </c>
      <c r="F97" s="2">
        <f t="shared" si="15"/>
        <v>0.70018607447517911</v>
      </c>
      <c r="G97" s="2">
        <f t="shared" si="16"/>
        <v>1.097116798120555</v>
      </c>
      <c r="H97" s="2">
        <f t="shared" si="17"/>
        <v>0.76818590411680898</v>
      </c>
      <c r="I97" s="7">
        <v>0.66</v>
      </c>
    </row>
    <row r="98" spans="1:9" x14ac:dyDescent="0.25">
      <c r="A98" s="7">
        <v>0.67</v>
      </c>
      <c r="B98" s="2">
        <f t="shared" si="19"/>
        <v>0.94042543564069969</v>
      </c>
      <c r="C98" s="2">
        <f t="shared" si="18"/>
        <v>1.9177132243220585</v>
      </c>
      <c r="D98" s="2">
        <f t="shared" si="20"/>
        <v>0.55936446810997409</v>
      </c>
      <c r="E98" s="2">
        <f t="shared" si="21"/>
        <v>0.29168306346102302</v>
      </c>
      <c r="F98" s="2">
        <f t="shared" ref="F98:F121" si="22">SUM(D98/0.25)/PI()</f>
        <v>0.71220496071736983</v>
      </c>
      <c r="G98" s="2">
        <f t="shared" ref="G98:G112" si="23">SUM((E98)/(0.25))^0.625</f>
        <v>1.1011766719924609</v>
      </c>
      <c r="H98" s="2">
        <f t="shared" ref="H98:H112" si="24">SUM((E98/0.25)^0.625)*F98</f>
        <v>0.78426348841927473</v>
      </c>
      <c r="I98" s="7">
        <v>0.67</v>
      </c>
    </row>
    <row r="99" spans="1:9" x14ac:dyDescent="0.25">
      <c r="A99" s="7">
        <v>0.68</v>
      </c>
      <c r="B99" s="2">
        <f t="shared" si="19"/>
        <v>0.93295230317524802</v>
      </c>
      <c r="C99" s="2">
        <f t="shared" si="18"/>
        <v>1.9390642202315367</v>
      </c>
      <c r="D99" s="2">
        <f t="shared" si="20"/>
        <v>0.56873176234365652</v>
      </c>
      <c r="E99" s="2">
        <f t="shared" si="21"/>
        <v>0.29330217968528466</v>
      </c>
      <c r="F99" s="2">
        <f t="shared" si="22"/>
        <v>0.72413177016286401</v>
      </c>
      <c r="G99" s="2">
        <f t="shared" si="23"/>
        <v>1.1049930618177972</v>
      </c>
      <c r="H99" s="2">
        <f t="shared" si="24"/>
        <v>0.8001605818718045</v>
      </c>
      <c r="I99" s="7">
        <v>0.68</v>
      </c>
    </row>
    <row r="100" spans="1:9" x14ac:dyDescent="0.25">
      <c r="A100" s="7">
        <v>0.69</v>
      </c>
      <c r="B100" s="2">
        <f t="shared" si="19"/>
        <v>0.92498648638777425</v>
      </c>
      <c r="C100" s="2">
        <f t="shared" si="18"/>
        <v>1.9605926232691568</v>
      </c>
      <c r="D100" s="2">
        <f t="shared" si="20"/>
        <v>0.57802187202412769</v>
      </c>
      <c r="E100" s="2">
        <f t="shared" si="21"/>
        <v>0.29481997696202433</v>
      </c>
      <c r="F100" s="2">
        <f t="shared" si="22"/>
        <v>0.73596030518296685</v>
      </c>
      <c r="G100" s="2">
        <f t="shared" si="23"/>
        <v>1.1085634665564121</v>
      </c>
      <c r="H100" s="2">
        <f t="shared" si="24"/>
        <v>0.81585870716154474</v>
      </c>
      <c r="I100" s="7">
        <v>0.69</v>
      </c>
    </row>
    <row r="101" spans="1:9" x14ac:dyDescent="0.25">
      <c r="A101" s="7">
        <v>0.7</v>
      </c>
      <c r="B101" s="2">
        <f t="shared" si="19"/>
        <v>0.9165151389911681</v>
      </c>
      <c r="C101" s="2">
        <f t="shared" si="18"/>
        <v>1.9823131728623842</v>
      </c>
      <c r="D101" s="2">
        <f t="shared" si="20"/>
        <v>0.58722980711471284</v>
      </c>
      <c r="E101" s="2">
        <f t="shared" si="21"/>
        <v>0.29623462889406899</v>
      </c>
      <c r="F101" s="2">
        <f t="shared" si="22"/>
        <v>0.7476842122656544</v>
      </c>
      <c r="G101" s="2">
        <f t="shared" si="23"/>
        <v>1.1118850350997911</v>
      </c>
      <c r="H101" s="2">
        <f t="shared" si="24"/>
        <v>0.83133888659855681</v>
      </c>
      <c r="I101" s="7">
        <v>0.7</v>
      </c>
    </row>
    <row r="102" spans="1:9" x14ac:dyDescent="0.25">
      <c r="A102" s="7">
        <v>0.71</v>
      </c>
      <c r="B102" s="2">
        <f t="shared" si="19"/>
        <v>0.90752410436307418</v>
      </c>
      <c r="C102" s="2">
        <f t="shared" si="18"/>
        <v>2.0042416468647826</v>
      </c>
      <c r="D102" s="2">
        <f t="shared" si="20"/>
        <v>0.59635044267431847</v>
      </c>
      <c r="E102" s="2">
        <f t="shared" si="21"/>
        <v>0.29754418266239713</v>
      </c>
      <c r="F102" s="2">
        <f t="shared" si="22"/>
        <v>0.75929696613326203</v>
      </c>
      <c r="G102" s="2">
        <f t="shared" si="23"/>
        <v>1.1149545377691348</v>
      </c>
      <c r="H102" s="2">
        <f t="shared" si="24"/>
        <v>0.84658159790461751</v>
      </c>
      <c r="I102" s="7">
        <v>0.71</v>
      </c>
    </row>
    <row r="103" spans="1:9" x14ac:dyDescent="0.25">
      <c r="A103" s="7">
        <v>0.72</v>
      </c>
      <c r="B103" s="2">
        <f t="shared" si="19"/>
        <v>0.89799777282574589</v>
      </c>
      <c r="C103" s="2">
        <f t="shared" si="18"/>
        <v>2.0263950001907203</v>
      </c>
      <c r="D103" s="2">
        <f t="shared" si="20"/>
        <v>0.6053785050585121</v>
      </c>
      <c r="E103" s="2">
        <f t="shared" si="21"/>
        <v>0.29874654497348002</v>
      </c>
      <c r="F103" s="2">
        <f t="shared" si="22"/>
        <v>0.77079185217315338</v>
      </c>
      <c r="G103" s="2">
        <f t="shared" si="23"/>
        <v>1.1177683330409447</v>
      </c>
      <c r="H103" s="2">
        <f t="shared" si="24"/>
        <v>0.86156672372512788</v>
      </c>
      <c r="I103" s="7">
        <v>0.72</v>
      </c>
    </row>
    <row r="104" spans="1:9" x14ac:dyDescent="0.25">
      <c r="A104" s="7">
        <v>0.73</v>
      </c>
      <c r="B104" s="2">
        <f t="shared" si="19"/>
        <v>0.88791891521692468</v>
      </c>
      <c r="C104" s="2">
        <f t="shared" si="18"/>
        <v>2.0487915253138484</v>
      </c>
      <c r="D104" s="2">
        <f t="shared" si="20"/>
        <v>0.61430855657840844</v>
      </c>
      <c r="E104" s="2">
        <f t="shared" si="21"/>
        <v>0.29983946584526422</v>
      </c>
      <c r="F104" s="2">
        <f t="shared" si="22"/>
        <v>0.78216194690480767</v>
      </c>
      <c r="G104" s="2">
        <f t="shared" si="23"/>
        <v>1.1203223286335158</v>
      </c>
      <c r="H104" s="2">
        <f t="shared" si="24"/>
        <v>0.87627349372491847</v>
      </c>
      <c r="I104" s="7">
        <v>0.73</v>
      </c>
    </row>
    <row r="105" spans="1:9" x14ac:dyDescent="0.25">
      <c r="A105" s="7">
        <v>0.74</v>
      </c>
      <c r="B105" s="2">
        <f t="shared" si="19"/>
        <v>0.87726848797845236</v>
      </c>
      <c r="C105" s="2">
        <f t="shared" si="18"/>
        <v>2.0714510391994847</v>
      </c>
      <c r="D105" s="2">
        <f t="shared" si="20"/>
        <v>0.62313497835728549</v>
      </c>
      <c r="E105" s="2">
        <f t="shared" si="21"/>
        <v>0.30082051980243613</v>
      </c>
      <c r="F105" s="2">
        <f t="shared" si="22"/>
        <v>0.79340009615218565</v>
      </c>
      <c r="G105" s="2">
        <f t="shared" si="23"/>
        <v>1.1226119358788778</v>
      </c>
      <c r="H105" s="2">
        <f t="shared" si="24"/>
        <v>0.89068041786789287</v>
      </c>
      <c r="I105" s="7">
        <v>0.74</v>
      </c>
    </row>
    <row r="106" spans="1:9" x14ac:dyDescent="0.25">
      <c r="A106" s="7">
        <v>0.75</v>
      </c>
      <c r="B106" s="2">
        <f t="shared" si="19"/>
        <v>0.8660254037844386</v>
      </c>
      <c r="C106" s="2">
        <f t="shared" si="18"/>
        <v>2.0943951023931957</v>
      </c>
      <c r="D106" s="2">
        <f t="shared" si="20"/>
        <v>0.63185195107135372</v>
      </c>
      <c r="E106" s="2">
        <f t="shared" si="21"/>
        <v>0.30168708394579297</v>
      </c>
      <c r="F106" s="2">
        <f t="shared" si="22"/>
        <v>0.80449889052211476</v>
      </c>
      <c r="G106" s="2">
        <f t="shared" si="23"/>
        <v>1.1246320160366325</v>
      </c>
      <c r="H106" s="2">
        <f t="shared" si="24"/>
        <v>0.90476520914712011</v>
      </c>
      <c r="I106" s="7">
        <v>0.75</v>
      </c>
    </row>
    <row r="107" spans="1:9" x14ac:dyDescent="0.25">
      <c r="A107" s="7">
        <v>0.76</v>
      </c>
      <c r="B107" s="2">
        <f t="shared" si="19"/>
        <v>0.85416626016250496</v>
      </c>
      <c r="C107" s="2">
        <f t="shared" si="18"/>
        <v>2.1176472774908408</v>
      </c>
      <c r="D107" s="2">
        <f t="shared" si="20"/>
        <v>0.64045343319383585</v>
      </c>
      <c r="E107" s="2">
        <f t="shared" si="21"/>
        <v>0.30243631222320305</v>
      </c>
      <c r="F107" s="2">
        <f t="shared" si="22"/>
        <v>0.81545063770379156</v>
      </c>
      <c r="G107" s="2">
        <f t="shared" si="23"/>
        <v>1.1263768168586838</v>
      </c>
      <c r="H107" s="2">
        <f t="shared" si="24"/>
        <v>0.91850469360218057</v>
      </c>
      <c r="I107" s="7">
        <v>0.76</v>
      </c>
    </row>
    <row r="108" spans="1:9" x14ac:dyDescent="0.25">
      <c r="A108" s="7">
        <v>0.77</v>
      </c>
      <c r="B108" s="2">
        <f t="shared" si="19"/>
        <v>0.84166501650003256</v>
      </c>
      <c r="C108" s="2">
        <f t="shared" si="18"/>
        <v>2.1412334361948187</v>
      </c>
      <c r="D108" s="2">
        <f t="shared" si="20"/>
        <v>0.64893313627620908</v>
      </c>
      <c r="E108" s="2">
        <f t="shared" si="21"/>
        <v>0.30306510504965156</v>
      </c>
      <c r="F108" s="2">
        <f t="shared" si="22"/>
        <v>0.82624733099588177</v>
      </c>
      <c r="G108" s="2">
        <f t="shared" si="23"/>
        <v>1.1278398972590304</v>
      </c>
      <c r="H108" s="2">
        <f t="shared" si="24"/>
        <v>0.93187470490094337</v>
      </c>
      <c r="I108" s="7">
        <v>0.77</v>
      </c>
    </row>
    <row r="109" spans="1:9" x14ac:dyDescent="0.25">
      <c r="A109" s="7">
        <v>0.78</v>
      </c>
      <c r="B109" s="2">
        <f t="shared" si="19"/>
        <v>0.82849260708831907</v>
      </c>
      <c r="C109" s="2">
        <f t="shared" si="18"/>
        <v>2.1651821267959588</v>
      </c>
      <c r="D109" s="2">
        <f t="shared" si="20"/>
        <v>0.65728449669135436</v>
      </c>
      <c r="E109" s="2">
        <f t="shared" si="21"/>
        <v>0.30357007318548551</v>
      </c>
      <c r="F109" s="2">
        <f t="shared" si="22"/>
        <v>0.83688061332878061</v>
      </c>
      <c r="G109" s="2">
        <f t="shared" si="23"/>
        <v>1.1290140373409654</v>
      </c>
      <c r="H109" s="2">
        <f t="shared" si="24"/>
        <v>0.94484996002670996</v>
      </c>
      <c r="I109" s="7">
        <v>0.78</v>
      </c>
    </row>
    <row r="110" spans="1:9" x14ac:dyDescent="0.25">
      <c r="A110" s="7">
        <v>0.79</v>
      </c>
      <c r="B110" s="2">
        <f t="shared" si="19"/>
        <v>0.81461647417665184</v>
      </c>
      <c r="C110" s="2">
        <f t="shared" si="18"/>
        <v>2.1895250174671479</v>
      </c>
      <c r="D110" s="2">
        <f t="shared" si="20"/>
        <v>0.66550064312240154</v>
      </c>
      <c r="E110" s="2">
        <f t="shared" si="21"/>
        <v>0.30394749446263719</v>
      </c>
      <c r="F110" s="2">
        <f t="shared" si="22"/>
        <v>0.84734173587012451</v>
      </c>
      <c r="G110" s="2">
        <f t="shared" si="23"/>
        <v>1.129891130228426</v>
      </c>
      <c r="H110" s="2">
        <f t="shared" si="24"/>
        <v>0.95740391163201144</v>
      </c>
      <c r="I110" s="7">
        <v>0.79</v>
      </c>
    </row>
    <row r="111" spans="1:9" x14ac:dyDescent="0.25">
      <c r="A111" s="7">
        <v>0.8</v>
      </c>
      <c r="B111" s="2">
        <f t="shared" si="19"/>
        <v>0.79999999999999982</v>
      </c>
      <c r="C111" s="2">
        <f t="shared" si="18"/>
        <v>2.2142974355881813</v>
      </c>
      <c r="D111" s="2">
        <f t="shared" si="20"/>
        <v>0.67357435889704531</v>
      </c>
      <c r="E111" s="2">
        <f t="shared" si="21"/>
        <v>0.304193261515531</v>
      </c>
      <c r="F111" s="2">
        <f t="shared" si="22"/>
        <v>0.8576215100673531</v>
      </c>
      <c r="G111" s="2">
        <f t="shared" si="23"/>
        <v>1.1304620510564083</v>
      </c>
      <c r="H111" s="2">
        <f t="shared" si="24"/>
        <v>0.96950857130083412</v>
      </c>
      <c r="I111" s="7">
        <v>0.8</v>
      </c>
    </row>
    <row r="112" spans="1:9" x14ac:dyDescent="0.25">
      <c r="A112" s="7">
        <v>0.82</v>
      </c>
      <c r="B112" s="2">
        <f t="shared" si="19"/>
        <v>0.76837490849194201</v>
      </c>
      <c r="C112" s="2">
        <f t="shared" si="18"/>
        <v>2.2652945924214523</v>
      </c>
      <c r="D112" s="2">
        <f t="shared" si="20"/>
        <v>0.68926363346407382</v>
      </c>
      <c r="E112" s="2">
        <f t="shared" si="21"/>
        <v>0.30427108057822005</v>
      </c>
      <c r="F112" s="2">
        <f t="shared" si="22"/>
        <v>0.87759771487430138</v>
      </c>
      <c r="G112" s="2">
        <f t="shared" si="23"/>
        <v>1.1306427899343707</v>
      </c>
      <c r="H112" s="2">
        <f t="shared" si="24"/>
        <v>0.99224952878550854</v>
      </c>
      <c r="I112" s="7">
        <v>0.82</v>
      </c>
    </row>
    <row r="113" spans="1:9" x14ac:dyDescent="0.25">
      <c r="A113" s="7">
        <v>0.84</v>
      </c>
      <c r="B113" s="2">
        <f t="shared" si="19"/>
        <v>0.73321211119293461</v>
      </c>
      <c r="C113" s="2">
        <f t="shared" ref="C113:C121" si="25">(C$81-ASIN(((B113))))+C$81</f>
        <v>2.3185589614548165</v>
      </c>
      <c r="D113" s="2">
        <f t="shared" si="20"/>
        <v>0.70428579926650303</v>
      </c>
      <c r="E113" s="2">
        <f t="shared" si="21"/>
        <v>0.30376014195670392</v>
      </c>
      <c r="F113" s="2">
        <f t="shared" si="22"/>
        <v>0.89672453042152256</v>
      </c>
      <c r="G113" s="2"/>
      <c r="H113" s="2"/>
      <c r="I113" s="7">
        <v>0.84</v>
      </c>
    </row>
    <row r="114" spans="1:9" x14ac:dyDescent="0.25">
      <c r="A114" s="7">
        <v>0.86</v>
      </c>
      <c r="B114" s="2">
        <f t="shared" si="19"/>
        <v>0.69397406291589903</v>
      </c>
      <c r="C114" s="2">
        <f t="shared" si="25"/>
        <v>2.3745986457279264</v>
      </c>
      <c r="D114" s="2">
        <f t="shared" si="20"/>
        <v>0.71856499275684338</v>
      </c>
      <c r="E114" s="2">
        <f t="shared" si="21"/>
        <v>0.30260481873414413</v>
      </c>
      <c r="F114" s="2">
        <f t="shared" si="22"/>
        <v>0.91490536424034874</v>
      </c>
      <c r="G114" s="2"/>
      <c r="H114" s="2"/>
      <c r="I114" s="7">
        <v>0.86</v>
      </c>
    </row>
    <row r="115" spans="1:9" x14ac:dyDescent="0.25">
      <c r="A115" s="7">
        <v>0.88</v>
      </c>
      <c r="B115" s="2">
        <f t="shared" si="19"/>
        <v>0.64992307237087688</v>
      </c>
      <c r="C115" s="2">
        <f t="shared" si="25"/>
        <v>2.4341094418104499</v>
      </c>
      <c r="D115" s="2">
        <f t="shared" si="20"/>
        <v>0.73201274420307905</v>
      </c>
      <c r="E115" s="2">
        <f t="shared" si="21"/>
        <v>0.30073123731799839</v>
      </c>
      <c r="F115" s="2">
        <f t="shared" si="22"/>
        <v>0.9320275731694655</v>
      </c>
      <c r="G115" s="2"/>
      <c r="H115" s="2"/>
      <c r="I115" s="7">
        <v>0.88</v>
      </c>
    </row>
    <row r="116" spans="1:9" x14ac:dyDescent="0.25">
      <c r="A116" s="7">
        <v>0.9</v>
      </c>
      <c r="B116" s="2">
        <f t="shared" si="19"/>
        <v>0.59999999999999987</v>
      </c>
      <c r="C116" s="2">
        <f t="shared" si="25"/>
        <v>2.4980915447965089</v>
      </c>
      <c r="D116" s="2">
        <f t="shared" si="20"/>
        <v>0.74452288619912721</v>
      </c>
      <c r="E116" s="2">
        <f t="shared" si="21"/>
        <v>0.29803667033338244</v>
      </c>
      <c r="F116" s="2">
        <f t="shared" si="22"/>
        <v>0.94795598066908615</v>
      </c>
      <c r="G116" s="2"/>
      <c r="H116" s="2"/>
      <c r="I116" s="7">
        <v>0.9</v>
      </c>
    </row>
    <row r="117" spans="1:9" x14ac:dyDescent="0.25">
      <c r="A117" s="7">
        <v>0.92</v>
      </c>
      <c r="B117" s="2">
        <f t="shared" si="19"/>
        <v>0.54258639865002145</v>
      </c>
      <c r="C117" s="2">
        <f t="shared" si="25"/>
        <v>2.5680795491666961</v>
      </c>
      <c r="D117" s="2">
        <f t="shared" si="20"/>
        <v>0.75596303100817852</v>
      </c>
      <c r="E117" s="2">
        <f t="shared" si="21"/>
        <v>0.29436900864440796</v>
      </c>
      <c r="F117" s="2">
        <f t="shared" si="22"/>
        <v>0.9625220254374669</v>
      </c>
      <c r="G117" s="2"/>
      <c r="H117" s="2"/>
      <c r="I117" s="7">
        <v>0.92</v>
      </c>
    </row>
    <row r="118" spans="1:9" x14ac:dyDescent="0.25">
      <c r="A118" s="7">
        <v>0.94</v>
      </c>
      <c r="B118" s="2">
        <f t="shared" si="19"/>
        <v>0.4749736834815167</v>
      </c>
      <c r="C118" s="2">
        <f t="shared" si="25"/>
        <v>2.6466585272488974</v>
      </c>
      <c r="D118" s="2">
        <f t="shared" si="20"/>
        <v>0.76615884217815799</v>
      </c>
      <c r="E118" s="2">
        <f t="shared" si="21"/>
        <v>0.28948156110435275</v>
      </c>
      <c r="F118" s="2">
        <f t="shared" si="22"/>
        <v>0.97550373540973734</v>
      </c>
      <c r="G118" s="2"/>
      <c r="H118" s="2"/>
      <c r="I118" s="7">
        <v>0.94</v>
      </c>
    </row>
    <row r="119" spans="1:9" x14ac:dyDescent="0.25">
      <c r="A119" s="7">
        <v>0.96</v>
      </c>
      <c r="B119" s="2">
        <f t="shared" si="19"/>
        <v>0.39191835884530846</v>
      </c>
      <c r="C119" s="2">
        <f t="shared" si="25"/>
        <v>2.7388768120091314</v>
      </c>
      <c r="D119" s="2">
        <f t="shared" si="20"/>
        <v>0.77486042553670376</v>
      </c>
      <c r="E119" s="2">
        <f t="shared" si="21"/>
        <v>0.28291174766940208</v>
      </c>
      <c r="F119" s="2">
        <f t="shared" si="22"/>
        <v>0.98658293544364717</v>
      </c>
      <c r="G119" s="2"/>
      <c r="H119" s="2"/>
      <c r="I119" s="7">
        <v>0.96</v>
      </c>
    </row>
    <row r="120" spans="1:9" x14ac:dyDescent="0.25">
      <c r="A120" s="7">
        <v>0.98</v>
      </c>
      <c r="B120" s="2">
        <f t="shared" ref="B120:B121" si="26">SUM(2*((A120-A120^2)^0.5))</f>
        <v>0.28000000000000042</v>
      </c>
      <c r="C120" s="2">
        <f t="shared" si="25"/>
        <v>2.8577985443814651</v>
      </c>
      <c r="D120" s="2">
        <f t="shared" ref="D120:D121" si="27">SUM((C120*0.5-(B120*(0.5-A120)))/2)</f>
        <v>0.78164963609536642</v>
      </c>
      <c r="E120" s="2">
        <f t="shared" ref="E120:E121" si="28">SUM(D120/C120)</f>
        <v>0.27351460362106972</v>
      </c>
      <c r="F120" s="2">
        <f t="shared" si="22"/>
        <v>0.99522722680446996</v>
      </c>
      <c r="G120" s="2"/>
      <c r="H120" s="2"/>
      <c r="I120" s="7">
        <v>0.98</v>
      </c>
    </row>
    <row r="121" spans="1:9" x14ac:dyDescent="0.25">
      <c r="A121" s="7">
        <v>1</v>
      </c>
      <c r="B121" s="2">
        <f t="shared" si="26"/>
        <v>0</v>
      </c>
      <c r="C121" s="2">
        <f t="shared" si="25"/>
        <v>3.1415926535897931</v>
      </c>
      <c r="D121" s="2">
        <f t="shared" si="27"/>
        <v>0.78539816339744828</v>
      </c>
      <c r="E121" s="2">
        <f t="shared" si="28"/>
        <v>0.25</v>
      </c>
      <c r="F121" s="2">
        <f t="shared" si="22"/>
        <v>1</v>
      </c>
      <c r="G121" s="2">
        <f>SUM((E121)/(0.25))^0.625</f>
        <v>1</v>
      </c>
      <c r="H121" s="2">
        <f>SUM((E121/0.25)^0.625)*F121</f>
        <v>1</v>
      </c>
      <c r="I121" s="7">
        <v>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81"/>
  <sheetViews>
    <sheetView topLeftCell="A7" workbookViewId="0">
      <selection activeCell="M19" sqref="M19"/>
    </sheetView>
  </sheetViews>
  <sheetFormatPr defaultRowHeight="15" x14ac:dyDescent="0.25"/>
  <sheetData>
    <row r="1" spans="1:10" ht="15.75" thickBot="1" x14ac:dyDescent="0.3">
      <c r="A1" s="4" t="s">
        <v>3</v>
      </c>
      <c r="B1" s="4" t="s">
        <v>0</v>
      </c>
      <c r="C1" s="5" t="s">
        <v>1</v>
      </c>
      <c r="D1" s="5" t="s">
        <v>2</v>
      </c>
      <c r="E1" s="5" t="s">
        <v>6</v>
      </c>
      <c r="F1" s="5" t="s">
        <v>7</v>
      </c>
      <c r="G1" s="5" t="s">
        <v>5</v>
      </c>
      <c r="H1" s="5" t="s">
        <v>4</v>
      </c>
      <c r="I1" s="5" t="s">
        <v>3</v>
      </c>
    </row>
    <row r="2" spans="1:10" ht="15.75" thickTop="1" x14ac:dyDescent="0.25">
      <c r="A2" s="6">
        <v>1E-3</v>
      </c>
      <c r="B2" s="3">
        <v>2.2769999999999999E-2</v>
      </c>
      <c r="C2" s="3">
        <f t="shared" ref="C2:C21" si="0">SUM(2*((B2-B2^2)^0.5))</f>
        <v>0.29833891532952922</v>
      </c>
      <c r="D2" s="3">
        <f t="shared" ref="D2:D65" si="1">ASIN(((C2)))</f>
        <v>0.30295183977720935</v>
      </c>
      <c r="E2" s="3">
        <f t="shared" ref="E2:E65" si="2">SUM((D2*0.5-(C2*(0.5-B2)))/2)</f>
        <v>4.5498196629467219E-3</v>
      </c>
      <c r="F2" s="3">
        <f t="shared" ref="F2:F65" si="3">SUM(E2/D2)</f>
        <v>1.5018293555479503E-2</v>
      </c>
      <c r="G2" s="3">
        <f t="shared" ref="G2:G60" si="4">SUM(E2/0.25)/PI()</f>
        <v>5.7930103162773762E-3</v>
      </c>
      <c r="H2" s="3">
        <f t="shared" ref="H2:H60" si="5">SUM((F2)/(0.25))^0.625</f>
        <v>0.17245483016496985</v>
      </c>
      <c r="I2" s="6">
        <f t="shared" ref="I2:I60" si="6">SUM((F2/0.25)^0.625)*G2</f>
        <v>9.9903261023753321E-4</v>
      </c>
      <c r="J2" s="1"/>
    </row>
    <row r="3" spans="1:10" x14ac:dyDescent="0.25">
      <c r="A3" s="7">
        <v>2E-3</v>
      </c>
      <c r="B3" s="3">
        <v>3.1638240016288906E-2</v>
      </c>
      <c r="C3" s="3">
        <f t="shared" ref="C3:C11" si="7">SUM(2*((B3-B3^2)^0.5))</f>
        <v>0.35007006033056071</v>
      </c>
      <c r="D3" s="3">
        <f t="shared" ref="D3:D11" si="8">ASIN(((C3)))</f>
        <v>0.35764589556651599</v>
      </c>
      <c r="E3" s="3">
        <f t="shared" ref="E3:E11" si="9">SUM((D3*0.5-(C3*(0.5-B3)))/2)</f>
        <v>7.4317591046163256E-3</v>
      </c>
      <c r="F3" s="3">
        <f t="shared" ref="F3:F11" si="10">SUM(E3/D3)</f>
        <v>2.0779657188136656E-2</v>
      </c>
      <c r="G3" s="3">
        <f t="shared" ref="G3:G11" si="11">SUM(E3/0.25)/PI()</f>
        <v>9.4624095789430911E-3</v>
      </c>
      <c r="H3" s="3">
        <f t="shared" ref="H3:H11" si="12">SUM((F3)/(0.25))^0.625</f>
        <v>0.21125718141559333</v>
      </c>
      <c r="I3" s="6">
        <f t="shared" ref="I3:I11" si="13">SUM((F3/0.25)^0.625)*G3</f>
        <v>1.9990019770474285E-3</v>
      </c>
      <c r="J3" s="1"/>
    </row>
    <row r="4" spans="1:10" x14ac:dyDescent="0.25">
      <c r="A4" s="6">
        <v>3.0000000000000001E-3</v>
      </c>
      <c r="B4" s="3">
        <v>3.8371407849397327E-2</v>
      </c>
      <c r="C4" s="3">
        <f t="shared" si="7"/>
        <v>0.38418247179720488</v>
      </c>
      <c r="D4" s="3">
        <f t="shared" si="8"/>
        <v>0.39432217661029967</v>
      </c>
      <c r="E4" s="3">
        <f t="shared" si="9"/>
        <v>9.9057373602337573E-3</v>
      </c>
      <c r="F4" s="3">
        <f t="shared" si="10"/>
        <v>2.5120923822713095E-2</v>
      </c>
      <c r="G4" s="3">
        <f t="shared" si="11"/>
        <v>1.2612376526810121E-2</v>
      </c>
      <c r="H4" s="3">
        <f t="shared" si="12"/>
        <v>0.23785361077021602</v>
      </c>
      <c r="I4" s="6">
        <f t="shared" si="13"/>
        <v>2.9998992972953037E-3</v>
      </c>
      <c r="J4" s="1"/>
    </row>
    <row r="5" spans="1:10" x14ac:dyDescent="0.25">
      <c r="A5" s="7">
        <v>4.0000000000000001E-3</v>
      </c>
      <c r="B5" s="3">
        <v>4.4004755602708362E-2</v>
      </c>
      <c r="C5" s="3">
        <f t="shared" si="7"/>
        <v>0.41021134595256759</v>
      </c>
      <c r="D5" s="3">
        <f t="shared" si="8"/>
        <v>0.42268579151199842</v>
      </c>
      <c r="E5" s="3">
        <f t="shared" si="9"/>
        <v>1.2144236401908093E-2</v>
      </c>
      <c r="F5" s="3">
        <f t="shared" si="10"/>
        <v>2.87311204818754E-2</v>
      </c>
      <c r="G5" s="3">
        <f t="shared" si="11"/>
        <v>1.5462522027521651E-2</v>
      </c>
      <c r="H5" s="3">
        <f t="shared" si="12"/>
        <v>0.25867701850833047</v>
      </c>
      <c r="I5" s="6">
        <f t="shared" si="13"/>
        <v>3.9997990966986856E-3</v>
      </c>
      <c r="J5" s="1"/>
    </row>
    <row r="6" spans="1:10" x14ac:dyDescent="0.25">
      <c r="A6" s="6">
        <v>5.0000000000000001E-3</v>
      </c>
      <c r="B6" s="3">
        <v>4.8935581840834533E-2</v>
      </c>
      <c r="C6" s="3">
        <f t="shared" si="7"/>
        <v>0.43146675733239759</v>
      </c>
      <c r="D6" s="3">
        <f t="shared" si="8"/>
        <v>0.44611803052511412</v>
      </c>
      <c r="E6" s="3">
        <f t="shared" si="9"/>
        <v>1.4219856705698641E-2</v>
      </c>
      <c r="F6" s="3">
        <f t="shared" si="10"/>
        <v>3.1874651398780748E-2</v>
      </c>
      <c r="G6" s="3">
        <f t="shared" si="11"/>
        <v>1.810528387816299E-2</v>
      </c>
      <c r="H6" s="3">
        <f t="shared" si="12"/>
        <v>0.27602021951246025</v>
      </c>
      <c r="I6" s="6">
        <f t="shared" si="13"/>
        <v>4.9974244303859564E-3</v>
      </c>
      <c r="J6" s="1"/>
    </row>
    <row r="7" spans="1:10" x14ac:dyDescent="0.25">
      <c r="A7" s="7">
        <v>6.0000000000000001E-3</v>
      </c>
      <c r="B7" s="3">
        <v>5.3378811487364036E-2</v>
      </c>
      <c r="C7" s="3">
        <f t="shared" si="7"/>
        <v>0.44957541735090673</v>
      </c>
      <c r="D7" s="3">
        <f t="shared" si="8"/>
        <v>0.46628995467699602</v>
      </c>
      <c r="E7" s="3">
        <f t="shared" si="9"/>
        <v>1.6177535057585846E-2</v>
      </c>
      <c r="F7" s="3">
        <f t="shared" si="10"/>
        <v>3.4694153059317341E-2</v>
      </c>
      <c r="G7" s="3">
        <f t="shared" si="11"/>
        <v>2.0597877371657736E-2</v>
      </c>
      <c r="H7" s="3">
        <f t="shared" si="12"/>
        <v>0.29103664540154756</v>
      </c>
      <c r="I7" s="6">
        <f t="shared" si="13"/>
        <v>5.9947371326397126E-3</v>
      </c>
      <c r="J7" s="1"/>
    </row>
    <row r="8" spans="1:10" x14ac:dyDescent="0.25">
      <c r="A8" s="7">
        <v>7.0000000000000001E-3</v>
      </c>
      <c r="B8" s="3">
        <v>5.7486643993759148E-2</v>
      </c>
      <c r="C8" s="3">
        <f t="shared" si="7"/>
        <v>0.46554024425862023</v>
      </c>
      <c r="D8" s="3">
        <f t="shared" si="8"/>
        <v>0.48424494035012949</v>
      </c>
      <c r="E8" s="3">
        <f t="shared" si="9"/>
        <v>1.8057347166108809E-2</v>
      </c>
      <c r="F8" s="3">
        <f t="shared" si="10"/>
        <v>3.7289697137677033E-2</v>
      </c>
      <c r="G8" s="3">
        <f t="shared" si="11"/>
        <v>2.2991328484901159E-2</v>
      </c>
      <c r="H8" s="3">
        <f t="shared" si="12"/>
        <v>0.30446020091443715</v>
      </c>
      <c r="I8" s="6">
        <f t="shared" si="13"/>
        <v>6.9999444898028286E-3</v>
      </c>
      <c r="J8" s="1"/>
    </row>
    <row r="9" spans="1:10" x14ac:dyDescent="0.25">
      <c r="A9" s="7">
        <v>8.0000000000000002E-3</v>
      </c>
      <c r="B9" s="3">
        <v>6.128223015545009E-2</v>
      </c>
      <c r="C9" s="3">
        <f t="shared" si="7"/>
        <v>0.47969456291529733</v>
      </c>
      <c r="D9" s="3">
        <f t="shared" si="8"/>
        <v>0.50030657724697547</v>
      </c>
      <c r="E9" s="3">
        <f t="shared" si="9"/>
        <v>1.9851379887366183E-2</v>
      </c>
      <c r="F9" s="3">
        <f t="shared" si="10"/>
        <v>3.9678430766594906E-2</v>
      </c>
      <c r="G9" s="3">
        <f t="shared" si="11"/>
        <v>2.5275561890154886E-2</v>
      </c>
      <c r="H9" s="3">
        <f t="shared" si="12"/>
        <v>0.31650753207675292</v>
      </c>
      <c r="I9" s="6">
        <f t="shared" si="13"/>
        <v>7.9999057157061505E-3</v>
      </c>
      <c r="J9" s="1"/>
    </row>
    <row r="10" spans="1:10" x14ac:dyDescent="0.25">
      <c r="A10" s="7">
        <v>8.9999999999999993E-3</v>
      </c>
      <c r="B10" s="3">
        <v>6.4839591241504943E-2</v>
      </c>
      <c r="C10" s="3">
        <f t="shared" si="7"/>
        <v>0.4924852024137964</v>
      </c>
      <c r="D10" s="3">
        <f t="shared" si="8"/>
        <v>0.51494295503147236</v>
      </c>
      <c r="E10" s="3">
        <f t="shared" si="9"/>
        <v>2.1580707762919191E-2</v>
      </c>
      <c r="F10" s="3">
        <f t="shared" si="10"/>
        <v>4.1908929041664857E-2</v>
      </c>
      <c r="G10" s="3">
        <f t="shared" si="11"/>
        <v>2.7477410527121823E-2</v>
      </c>
      <c r="H10" s="3">
        <f t="shared" si="12"/>
        <v>0.32751341717879784</v>
      </c>
      <c r="I10" s="6">
        <f t="shared" si="13"/>
        <v>8.9992206169623411E-3</v>
      </c>
      <c r="J10" s="1"/>
    </row>
    <row r="11" spans="1:10" x14ac:dyDescent="0.25">
      <c r="A11" s="7">
        <v>0.01</v>
      </c>
      <c r="B11" s="3">
        <v>6.8195890019999039E-2</v>
      </c>
      <c r="C11" s="3">
        <f t="shared" si="7"/>
        <v>0.50416350762180018</v>
      </c>
      <c r="D11" s="3">
        <f t="shared" si="8"/>
        <v>0.52841308947721288</v>
      </c>
      <c r="E11" s="3">
        <f t="shared" si="9"/>
        <v>2.3253335022789798E-2</v>
      </c>
      <c r="F11" s="3">
        <f t="shared" si="10"/>
        <v>4.4005978439700569E-2</v>
      </c>
      <c r="G11" s="3">
        <f t="shared" si="11"/>
        <v>2.9607065697991097E-2</v>
      </c>
      <c r="H11" s="3">
        <f t="shared" si="12"/>
        <v>0.33766208327334968</v>
      </c>
      <c r="I11" s="6">
        <f t="shared" si="13"/>
        <v>9.9971834831946039E-3</v>
      </c>
      <c r="J11" s="1"/>
    </row>
    <row r="12" spans="1:10" x14ac:dyDescent="0.25">
      <c r="A12" s="7">
        <v>1.0999999999999999E-2</v>
      </c>
      <c r="B12" s="2">
        <v>7.1401645228165667E-2</v>
      </c>
      <c r="C12" s="2">
        <f t="shared" si="0"/>
        <v>0.51498912721290269</v>
      </c>
      <c r="D12" s="2">
        <f t="shared" si="1"/>
        <v>0.54099496507962763</v>
      </c>
      <c r="E12" s="2">
        <f t="shared" si="2"/>
        <v>2.4886994945490418E-2</v>
      </c>
      <c r="F12" s="2">
        <f t="shared" si="3"/>
        <v>4.6002267214866534E-2</v>
      </c>
      <c r="G12" s="2">
        <f t="shared" si="4"/>
        <v>3.1687106114222513E-2</v>
      </c>
      <c r="H12" s="2">
        <f t="shared" si="5"/>
        <v>0.3471558733817155</v>
      </c>
      <c r="I12" s="7">
        <f t="shared" si="6"/>
        <v>1.1000364998022014E-2</v>
      </c>
      <c r="J12" s="1"/>
    </row>
    <row r="13" spans="1:10" x14ac:dyDescent="0.25">
      <c r="A13" s="7">
        <v>1.2E-2</v>
      </c>
      <c r="B13" s="2">
        <v>7.4440267579662794E-2</v>
      </c>
      <c r="C13" s="2">
        <f t="shared" si="0"/>
        <v>0.52497205313171103</v>
      </c>
      <c r="D13" s="2">
        <f t="shared" si="1"/>
        <v>0.55268227734051456</v>
      </c>
      <c r="E13" s="2">
        <f t="shared" si="2"/>
        <v>2.6467086105685655E-2</v>
      </c>
      <c r="F13" s="2">
        <f t="shared" si="3"/>
        <v>4.7888429194878901E-2</v>
      </c>
      <c r="G13" s="2">
        <f t="shared" si="4"/>
        <v>3.3698940663669553E-2</v>
      </c>
      <c r="H13" s="2">
        <f t="shared" si="5"/>
        <v>0.35598493099212963</v>
      </c>
      <c r="I13" s="7">
        <f t="shared" si="6"/>
        <v>1.1996315066664277E-2</v>
      </c>
      <c r="J13" s="1"/>
    </row>
    <row r="14" spans="1:10" x14ac:dyDescent="0.25">
      <c r="A14" s="7">
        <v>1.2999999999999999E-2</v>
      </c>
      <c r="B14" s="2">
        <v>7.7374304383099335E-2</v>
      </c>
      <c r="C14" s="2">
        <f t="shared" si="0"/>
        <v>0.5343688666242854</v>
      </c>
      <c r="D14" s="2">
        <f t="shared" si="1"/>
        <v>0.56376088948289771</v>
      </c>
      <c r="E14" s="2">
        <f t="shared" si="2"/>
        <v>2.802121538417271E-2</v>
      </c>
      <c r="F14" s="2">
        <f t="shared" si="3"/>
        <v>4.9704078283746858E-2</v>
      </c>
      <c r="G14" s="2">
        <f t="shared" si="4"/>
        <v>3.5677719518669999E-2</v>
      </c>
      <c r="H14" s="2">
        <f t="shared" si="5"/>
        <v>0.36436152404493471</v>
      </c>
      <c r="I14" s="7">
        <f t="shared" si="6"/>
        <v>1.2999588258270316E-2</v>
      </c>
      <c r="J14" s="1"/>
    </row>
    <row r="15" spans="1:10" x14ac:dyDescent="0.25">
      <c r="A15" s="7">
        <v>1.4E-2</v>
      </c>
      <c r="B15" s="2">
        <v>8.0176662250029979E-2</v>
      </c>
      <c r="C15" s="2">
        <f t="shared" si="0"/>
        <v>0.5431330042649759</v>
      </c>
      <c r="D15" s="2">
        <f t="shared" si="1"/>
        <v>0.57416396225365307</v>
      </c>
      <c r="E15" s="2">
        <f t="shared" si="2"/>
        <v>2.9531035217067819E-2</v>
      </c>
      <c r="F15" s="2">
        <f t="shared" si="3"/>
        <v>5.1433104754877758E-2</v>
      </c>
      <c r="G15" s="2">
        <f t="shared" si="4"/>
        <v>3.7600081835337487E-2</v>
      </c>
      <c r="H15" s="2">
        <f t="shared" si="5"/>
        <v>0.37223243033751718</v>
      </c>
      <c r="I15" s="7">
        <f t="shared" si="6"/>
        <v>1.3995969842457207E-2</v>
      </c>
      <c r="J15" s="1"/>
    </row>
    <row r="16" spans="1:10" x14ac:dyDescent="0.25">
      <c r="A16" s="7">
        <v>1.4999999999999999E-2</v>
      </c>
      <c r="B16" s="2">
        <v>8.2900048519684646E-2</v>
      </c>
      <c r="C16" s="2">
        <f t="shared" si="0"/>
        <v>0.55146216724311592</v>
      </c>
      <c r="D16" s="2">
        <f t="shared" si="1"/>
        <v>0.58411600247011497</v>
      </c>
      <c r="E16" s="2">
        <f t="shared" si="2"/>
        <v>3.1021579017362133E-2</v>
      </c>
      <c r="F16" s="2">
        <f t="shared" si="3"/>
        <v>5.3108592961291598E-2</v>
      </c>
      <c r="G16" s="2">
        <f t="shared" si="4"/>
        <v>3.9497901145032037E-2</v>
      </c>
      <c r="H16" s="2">
        <f t="shared" si="5"/>
        <v>0.37976548540906674</v>
      </c>
      <c r="I16" s="7">
        <f t="shared" si="6"/>
        <v>1.4999939600982424E-2</v>
      </c>
      <c r="J16" s="1"/>
    </row>
    <row r="17" spans="1:10" x14ac:dyDescent="0.25">
      <c r="A17" s="7">
        <v>1.6E-2</v>
      </c>
      <c r="B17" s="2">
        <v>8.552223613103653E-2</v>
      </c>
      <c r="C17" s="2">
        <f t="shared" si="0"/>
        <v>0.55931452067037835</v>
      </c>
      <c r="D17" s="2">
        <f t="shared" si="1"/>
        <v>0.59355864978605888</v>
      </c>
      <c r="E17" s="2">
        <f t="shared" si="2"/>
        <v>3.2477946533064947E-2</v>
      </c>
      <c r="F17" s="2">
        <f t="shared" si="3"/>
        <v>5.4717333400450374E-2</v>
      </c>
      <c r="G17" s="2">
        <f t="shared" si="4"/>
        <v>4.1352205857692573E-2</v>
      </c>
      <c r="H17" s="2">
        <f t="shared" si="5"/>
        <v>0.38691500480222485</v>
      </c>
      <c r="I17" s="7">
        <f t="shared" si="6"/>
        <v>1.5999788928011714E-2</v>
      </c>
      <c r="J17" s="1"/>
    </row>
    <row r="18" spans="1:10" x14ac:dyDescent="0.25">
      <c r="A18" s="7">
        <v>1.7000000000000001E-2</v>
      </c>
      <c r="B18" s="2">
        <v>8.8063208981949734E-2</v>
      </c>
      <c r="C18" s="2">
        <f t="shared" si="0"/>
        <v>0.56677360632178764</v>
      </c>
      <c r="D18" s="2">
        <f t="shared" si="1"/>
        <v>0.60258442863949291</v>
      </c>
      <c r="E18" s="2">
        <f t="shared" si="2"/>
        <v>3.390865684891077E-2</v>
      </c>
      <c r="F18" s="2">
        <f t="shared" si="3"/>
        <v>5.6272042949183546E-2</v>
      </c>
      <c r="G18" s="2">
        <f t="shared" si="4"/>
        <v>4.3173842808888009E-2</v>
      </c>
      <c r="H18" s="2">
        <f t="shared" si="5"/>
        <v>0.39374986791148753</v>
      </c>
      <c r="I18" s="7">
        <f t="shared" si="6"/>
        <v>1.6999694903230979E-2</v>
      </c>
      <c r="J18" s="1"/>
    </row>
    <row r="19" spans="1:10" x14ac:dyDescent="0.25">
      <c r="A19" s="7">
        <v>1.7999999999999999E-2</v>
      </c>
      <c r="B19" s="2">
        <v>9.0530261074144913E-2</v>
      </c>
      <c r="C19" s="2">
        <f t="shared" si="0"/>
        <v>0.57387989302289399</v>
      </c>
      <c r="D19" s="2">
        <f t="shared" si="1"/>
        <v>0.61123573845917301</v>
      </c>
      <c r="E19" s="2">
        <f t="shared" si="2"/>
        <v>3.5315709629352224E-2</v>
      </c>
      <c r="F19" s="2">
        <f t="shared" si="3"/>
        <v>5.7777560124964961E-2</v>
      </c>
      <c r="G19" s="2">
        <f t="shared" si="4"/>
        <v>4.4965358050475628E-2</v>
      </c>
      <c r="H19" s="2">
        <f t="shared" si="5"/>
        <v>0.40030129349042209</v>
      </c>
      <c r="I19" s="7">
        <f t="shared" si="6"/>
        <v>1.7999690989865359E-2</v>
      </c>
      <c r="J19" s="1"/>
    </row>
    <row r="20" spans="1:10" x14ac:dyDescent="0.25">
      <c r="A20" s="7">
        <v>1.9E-2</v>
      </c>
      <c r="B20" s="2">
        <v>9.2922205430926594E-2</v>
      </c>
      <c r="C20" s="2">
        <f t="shared" si="0"/>
        <v>0.58064677444649349</v>
      </c>
      <c r="D20" s="2">
        <f t="shared" si="1"/>
        <v>0.61952287719726074</v>
      </c>
      <c r="E20" s="2">
        <f t="shared" si="2"/>
        <v>3.6696515116652798E-2</v>
      </c>
      <c r="F20" s="2">
        <f t="shared" si="3"/>
        <v>5.9233510928069166E-2</v>
      </c>
      <c r="G20" s="2">
        <f t="shared" si="4"/>
        <v>4.6723454200494022E-2</v>
      </c>
      <c r="H20" s="2">
        <f t="shared" si="5"/>
        <v>0.406576400428869</v>
      </c>
      <c r="I20" s="7">
        <f t="shared" si="6"/>
        <v>1.899665382443998E-2</v>
      </c>
      <c r="J20" s="1"/>
    </row>
    <row r="21" spans="1:10" x14ac:dyDescent="0.25">
      <c r="A21" s="7">
        <v>0.02</v>
      </c>
      <c r="B21" s="2">
        <v>9.5266624980333295E-2</v>
      </c>
      <c r="C21" s="2">
        <f t="shared" si="0"/>
        <v>0.58716571815864671</v>
      </c>
      <c r="D21" s="2">
        <f t="shared" si="1"/>
        <v>0.62755295725365245</v>
      </c>
      <c r="E21" s="2">
        <f t="shared" si="2"/>
        <v>3.8065457910315362E-2</v>
      </c>
      <c r="F21" s="2">
        <f t="shared" si="3"/>
        <v>6.0656965233500719E-2</v>
      </c>
      <c r="G21" s="2">
        <f t="shared" si="4"/>
        <v>4.8466446299865427E-2</v>
      </c>
      <c r="H21" s="2">
        <f t="shared" si="5"/>
        <v>0.41265576649775876</v>
      </c>
      <c r="I21" s="7">
        <f t="shared" si="6"/>
        <v>1.9999958547293431E-2</v>
      </c>
      <c r="J21" s="1"/>
    </row>
    <row r="22" spans="1:10" x14ac:dyDescent="0.25">
      <c r="A22" s="7">
        <v>2.1000000000000001E-2</v>
      </c>
      <c r="B22" s="2">
        <v>9.7561826423501544E-2</v>
      </c>
      <c r="C22" s="2">
        <f t="shared" ref="C22:C80" si="14">SUM(2*((B22-B22^2)^0.5))</f>
        <v>0.59344255475458485</v>
      </c>
      <c r="D22" s="2">
        <f t="shared" si="1"/>
        <v>0.63532925335376722</v>
      </c>
      <c r="E22" s="2">
        <f t="shared" si="2"/>
        <v>3.9420344409438646E-2</v>
      </c>
      <c r="F22" s="2">
        <f t="shared" si="3"/>
        <v>6.2047110535753042E-2</v>
      </c>
      <c r="G22" s="2">
        <f t="shared" si="4"/>
        <v>5.019154136917698E-2</v>
      </c>
      <c r="H22" s="2">
        <f t="shared" si="5"/>
        <v>0.4185414462327397</v>
      </c>
      <c r="I22" s="7">
        <f t="shared" si="6"/>
        <v>2.1007240313305718E-2</v>
      </c>
      <c r="J22" s="1"/>
    </row>
    <row r="23" spans="1:10" x14ac:dyDescent="0.25">
      <c r="A23" s="7">
        <v>2.1999999999999999E-2</v>
      </c>
      <c r="B23" s="2">
        <v>9.9769106063045176E-2</v>
      </c>
      <c r="C23" s="2">
        <f t="shared" si="14"/>
        <v>0.5993837886977792</v>
      </c>
      <c r="D23" s="2">
        <f t="shared" si="1"/>
        <v>0.64273106695106075</v>
      </c>
      <c r="E23" s="2">
        <f t="shared" si="2"/>
        <v>4.0736811956849681E-2</v>
      </c>
      <c r="F23" s="2">
        <f t="shared" si="3"/>
        <v>6.3380804276497643E-2</v>
      </c>
      <c r="G23" s="2">
        <f t="shared" si="4"/>
        <v>5.1867719909901223E-2</v>
      </c>
      <c r="H23" s="2">
        <f t="shared" si="5"/>
        <v>0.42414181038878213</v>
      </c>
      <c r="I23" s="7">
        <f t="shared" si="6"/>
        <v>2.1999268623323784E-2</v>
      </c>
      <c r="J23" s="1"/>
    </row>
    <row r="24" spans="1:10" x14ac:dyDescent="0.25">
      <c r="A24" s="7">
        <v>2.3E-2</v>
      </c>
      <c r="B24" s="2">
        <v>0.1019398579419194</v>
      </c>
      <c r="C24" s="2">
        <f t="shared" si="14"/>
        <v>0.60513840831565369</v>
      </c>
      <c r="D24" s="2">
        <f t="shared" si="1"/>
        <v>0.64993970946200441</v>
      </c>
      <c r="E24" s="2">
        <f t="shared" si="2"/>
        <v>4.2044186976036152E-2</v>
      </c>
      <c r="F24" s="2">
        <f t="shared" si="3"/>
        <v>6.4689364819451867E-2</v>
      </c>
      <c r="G24" s="2">
        <f t="shared" si="4"/>
        <v>5.3532321484128328E-2</v>
      </c>
      <c r="H24" s="2">
        <f t="shared" si="5"/>
        <v>0.42959384349180557</v>
      </c>
      <c r="I24" s="7">
        <f t="shared" si="6"/>
        <v>2.2997155737405645E-2</v>
      </c>
      <c r="J24" s="1"/>
    </row>
    <row r="25" spans="1:10" x14ac:dyDescent="0.25">
      <c r="A25" s="7">
        <v>2.4E-2</v>
      </c>
      <c r="B25" s="2">
        <v>0.10405962740105934</v>
      </c>
      <c r="C25" s="2">
        <f t="shared" si="14"/>
        <v>0.61067576125538836</v>
      </c>
      <c r="D25" s="2">
        <f t="shared" si="1"/>
        <v>0.65691367282163882</v>
      </c>
      <c r="E25" s="2">
        <f t="shared" si="2"/>
        <v>4.3332823981109603E-2</v>
      </c>
      <c r="F25" s="2">
        <f t="shared" si="3"/>
        <v>6.5964259496962954E-2</v>
      </c>
      <c r="G25" s="2">
        <f t="shared" si="4"/>
        <v>5.5173065077796936E-2</v>
      </c>
      <c r="H25" s="2">
        <f t="shared" si="5"/>
        <v>0.43486597304827668</v>
      </c>
      <c r="I25" s="7">
        <f t="shared" si="6"/>
        <v>2.3992888631112059E-2</v>
      </c>
      <c r="J25" s="1"/>
    </row>
    <row r="26" spans="1:10" x14ac:dyDescent="0.25">
      <c r="A26" s="7">
        <v>2.5000000000000001E-2</v>
      </c>
      <c r="B26" s="2">
        <v>0.10615951213349742</v>
      </c>
      <c r="C26" s="2">
        <f t="shared" si="14"/>
        <v>0.61608333889848133</v>
      </c>
      <c r="D26" s="2">
        <f t="shared" si="1"/>
        <v>0.6637605803476353</v>
      </c>
      <c r="E26" s="2">
        <f t="shared" si="2"/>
        <v>4.4620863707807948E-2</v>
      </c>
      <c r="F26" s="2">
        <f t="shared" si="3"/>
        <v>6.722433514270823E-2</v>
      </c>
      <c r="G26" s="2">
        <f t="shared" si="4"/>
        <v>5.681304819301914E-2</v>
      </c>
      <c r="H26" s="2">
        <f t="shared" si="5"/>
        <v>0.44003940308362743</v>
      </c>
      <c r="I26" s="7">
        <f t="shared" si="6"/>
        <v>2.4999979814217501E-2</v>
      </c>
      <c r="J26" s="1"/>
    </row>
    <row r="27" spans="1:10" x14ac:dyDescent="0.25">
      <c r="A27" s="7">
        <v>2.5999999999999999E-2</v>
      </c>
      <c r="B27" s="2">
        <v>0.10820171840846184</v>
      </c>
      <c r="C27" s="2">
        <f t="shared" si="14"/>
        <v>0.62127001067786225</v>
      </c>
      <c r="D27" s="2">
        <f t="shared" si="1"/>
        <v>0.67036240951256965</v>
      </c>
      <c r="E27" s="2">
        <f t="shared" si="2"/>
        <v>4.5884341084170915E-2</v>
      </c>
      <c r="F27" s="2">
        <f t="shared" si="3"/>
        <v>6.8447067486278199E-2</v>
      </c>
      <c r="G27" s="2">
        <f t="shared" si="4"/>
        <v>5.8421757552482696E-2</v>
      </c>
      <c r="H27" s="2">
        <f t="shared" si="5"/>
        <v>0.44502486122278628</v>
      </c>
      <c r="I27" s="7">
        <f t="shared" si="6"/>
        <v>2.5999134547184877E-2</v>
      </c>
      <c r="J27" s="1"/>
    </row>
    <row r="28" spans="1:10" x14ac:dyDescent="0.25">
      <c r="A28" s="7">
        <v>2.7E-2</v>
      </c>
      <c r="B28" s="2">
        <v>0.11020209174626457</v>
      </c>
      <c r="C28" s="2">
        <f t="shared" si="14"/>
        <v>0.62628297349045814</v>
      </c>
      <c r="D28" s="2">
        <f t="shared" si="1"/>
        <v>0.67677613784609325</v>
      </c>
      <c r="E28" s="2">
        <f t="shared" si="2"/>
        <v>4.7132137940768204E-2</v>
      </c>
      <c r="F28" s="2">
        <f t="shared" si="3"/>
        <v>6.9642139113785653E-2</v>
      </c>
      <c r="G28" s="2">
        <f t="shared" si="4"/>
        <v>6.0010501854098598E-2</v>
      </c>
      <c r="H28" s="2">
        <f t="shared" si="5"/>
        <v>0.44986536530992971</v>
      </c>
      <c r="I28" s="7">
        <f t="shared" si="6"/>
        <v>2.6996646339026278E-2</v>
      </c>
      <c r="J28" s="1"/>
    </row>
    <row r="29" spans="1:10" x14ac:dyDescent="0.25">
      <c r="A29" s="7">
        <v>2.8000000000000001E-2</v>
      </c>
      <c r="B29" s="2">
        <v>0.11216198435628974</v>
      </c>
      <c r="C29" s="2">
        <f t="shared" si="14"/>
        <v>0.63113128149870423</v>
      </c>
      <c r="D29" s="2">
        <f t="shared" si="1"/>
        <v>0.68301079362058748</v>
      </c>
      <c r="E29" s="2">
        <f t="shared" si="2"/>
        <v>4.8364346491582194E-2</v>
      </c>
      <c r="F29" s="2">
        <f t="shared" si="3"/>
        <v>7.0810515651160547E-2</v>
      </c>
      <c r="G29" s="2">
        <f t="shared" si="4"/>
        <v>6.1579398508355775E-2</v>
      </c>
      <c r="H29" s="2">
        <f t="shared" si="5"/>
        <v>0.45456772058444977</v>
      </c>
      <c r="I29" s="7">
        <f t="shared" si="6"/>
        <v>2.7992006814904751E-2</v>
      </c>
      <c r="J29" s="1"/>
    </row>
    <row r="30" spans="1:10" x14ac:dyDescent="0.25">
      <c r="A30" s="7">
        <v>2.9000000000000001E-2</v>
      </c>
      <c r="B30" s="2">
        <v>0.1141118356352355</v>
      </c>
      <c r="C30" s="2">
        <f t="shared" si="14"/>
        <v>0.63589409370804029</v>
      </c>
      <c r="D30" s="2">
        <f t="shared" si="1"/>
        <v>0.68916645604088933</v>
      </c>
      <c r="E30" s="2">
        <f t="shared" si="2"/>
        <v>4.9599611734526733E-2</v>
      </c>
      <c r="F30" s="2">
        <f t="shared" si="3"/>
        <v>7.1970438055655908E-2</v>
      </c>
      <c r="G30" s="2">
        <f t="shared" si="4"/>
        <v>6.3152187063909654E-2</v>
      </c>
      <c r="H30" s="2">
        <f t="shared" si="5"/>
        <v>0.45920735547980202</v>
      </c>
      <c r="I30" s="7">
        <f t="shared" si="6"/>
        <v>2.8999948814383714E-2</v>
      </c>
      <c r="J30" s="1"/>
    </row>
    <row r="31" spans="1:10" x14ac:dyDescent="0.25">
      <c r="A31" s="7">
        <v>0.03</v>
      </c>
      <c r="B31" s="2">
        <v>0.1160134032464076</v>
      </c>
      <c r="C31" s="2">
        <f t="shared" si="14"/>
        <v>0.64048198573759751</v>
      </c>
      <c r="D31" s="2">
        <f t="shared" si="1"/>
        <v>0.6951257090049906</v>
      </c>
      <c r="E31" s="2">
        <f t="shared" si="2"/>
        <v>5.0813178258566169E-2</v>
      </c>
      <c r="F31" s="2">
        <f t="shared" si="3"/>
        <v>7.3099264780899301E-2</v>
      </c>
      <c r="G31" s="2">
        <f t="shared" si="4"/>
        <v>6.4697347952483455E-2</v>
      </c>
      <c r="H31" s="2">
        <f t="shared" si="5"/>
        <v>0.46369576042814131</v>
      </c>
      <c r="I31" s="7">
        <f t="shared" si="6"/>
        <v>2.9999885956510867E-2</v>
      </c>
      <c r="J31" s="1"/>
    </row>
    <row r="32" spans="1:10" x14ac:dyDescent="0.25">
      <c r="A32" s="7">
        <v>3.1E-2</v>
      </c>
      <c r="B32" s="2">
        <v>0.11789005358172722</v>
      </c>
      <c r="C32" s="2">
        <f t="shared" si="14"/>
        <v>0.64495577785837288</v>
      </c>
      <c r="D32" s="2">
        <f t="shared" si="1"/>
        <v>0.70096541608473684</v>
      </c>
      <c r="E32" s="2">
        <f t="shared" si="2"/>
        <v>5.2019345161375061E-2</v>
      </c>
      <c r="F32" s="2">
        <f t="shared" si="3"/>
        <v>7.4211000953414596E-2</v>
      </c>
      <c r="G32" s="2">
        <f t="shared" si="4"/>
        <v>6.6233087350690473E-2</v>
      </c>
      <c r="H32" s="2">
        <f t="shared" si="5"/>
        <v>0.46809087542470451</v>
      </c>
      <c r="I32" s="7">
        <f t="shared" si="6"/>
        <v>3.1003103840065625E-2</v>
      </c>
      <c r="J32" s="1"/>
    </row>
    <row r="33" spans="1:10" x14ac:dyDescent="0.25">
      <c r="A33" s="7">
        <v>3.2000000000000001E-2</v>
      </c>
      <c r="B33" s="2">
        <v>0.11972503939082106</v>
      </c>
      <c r="C33" s="2">
        <f t="shared" si="14"/>
        <v>0.64927946012079396</v>
      </c>
      <c r="D33" s="2">
        <f t="shared" si="1"/>
        <v>0.70663665988036928</v>
      </c>
      <c r="E33" s="2">
        <f t="shared" si="2"/>
        <v>5.3206804409200378E-2</v>
      </c>
      <c r="F33" s="2">
        <f t="shared" si="3"/>
        <v>7.5295844993674796E-2</v>
      </c>
      <c r="G33" s="2">
        <f t="shared" si="4"/>
        <v>6.7745007422783138E-2</v>
      </c>
      <c r="H33" s="2">
        <f t="shared" si="5"/>
        <v>0.47235593525718267</v>
      </c>
      <c r="I33" s="7">
        <f t="shared" si="6"/>
        <v>3.199975634019351E-2</v>
      </c>
      <c r="J33" s="1"/>
    </row>
    <row r="34" spans="1:10" x14ac:dyDescent="0.25">
      <c r="A34" s="7">
        <v>3.3000000000000002E-2</v>
      </c>
      <c r="B34" s="2">
        <v>0.12153667489632136</v>
      </c>
      <c r="C34" s="2">
        <f t="shared" si="14"/>
        <v>0.65349984407486206</v>
      </c>
      <c r="D34" s="2">
        <f t="shared" si="1"/>
        <v>0.71219901669304331</v>
      </c>
      <c r="E34" s="2">
        <f t="shared" si="2"/>
        <v>5.4386892201606918E-2</v>
      </c>
      <c r="F34" s="2">
        <f t="shared" si="3"/>
        <v>7.6364739246821495E-2</v>
      </c>
      <c r="G34" s="2">
        <f t="shared" si="4"/>
        <v>6.9247541866334361E-2</v>
      </c>
      <c r="H34" s="2">
        <f t="shared" si="5"/>
        <v>0.47653580823897579</v>
      </c>
      <c r="I34" s="7">
        <f t="shared" si="6"/>
        <v>3.2998933331835956E-2</v>
      </c>
      <c r="J34" s="1"/>
    </row>
    <row r="35" spans="1:10" x14ac:dyDescent="0.25">
      <c r="A35" s="7">
        <v>3.4000000000000002E-2</v>
      </c>
      <c r="B35" s="2">
        <v>0.12331992579713613</v>
      </c>
      <c r="C35" s="2">
        <f t="shared" si="14"/>
        <v>0.65760815596683397</v>
      </c>
      <c r="D35" s="2">
        <f t="shared" si="1"/>
        <v>0.71763944266049273</v>
      </c>
      <c r="E35" s="2">
        <f t="shared" si="2"/>
        <v>5.5555916172125436E-2</v>
      </c>
      <c r="F35" s="2">
        <f t="shared" si="3"/>
        <v>7.741480313033508E-2</v>
      </c>
      <c r="G35" s="2">
        <f t="shared" si="4"/>
        <v>7.0735989414341852E-2</v>
      </c>
      <c r="H35" s="2">
        <f t="shared" si="5"/>
        <v>0.48062073486736423</v>
      </c>
      <c r="I35" s="7">
        <f t="shared" si="6"/>
        <v>3.3997183213891079E-2</v>
      </c>
      <c r="J35" s="1"/>
    </row>
    <row r="36" spans="1:10" x14ac:dyDescent="0.25">
      <c r="A36" s="7">
        <v>3.5000000000000003E-2</v>
      </c>
      <c r="B36" s="2">
        <v>0.12507551129079311</v>
      </c>
      <c r="C36" s="2">
        <f t="shared" si="14"/>
        <v>0.66160903187952258</v>
      </c>
      <c r="D36" s="2">
        <f t="shared" si="1"/>
        <v>0.72296254294873785</v>
      </c>
      <c r="E36" s="2">
        <f t="shared" si="2"/>
        <v>5.6713921735772777E-2</v>
      </c>
      <c r="F36" s="2">
        <f t="shared" si="3"/>
        <v>7.844655617212816E-2</v>
      </c>
      <c r="G36" s="2">
        <f t="shared" si="4"/>
        <v>7.2210407891000986E-2</v>
      </c>
      <c r="H36" s="2">
        <f t="shared" si="5"/>
        <v>0.48461423985712776</v>
      </c>
      <c r="I36" s="7">
        <f t="shared" si="6"/>
        <v>3.4994191929870584E-2</v>
      </c>
      <c r="J36" s="1"/>
    </row>
    <row r="37" spans="1:10" x14ac:dyDescent="0.25">
      <c r="A37" s="7">
        <v>3.5999999999999997E-2</v>
      </c>
      <c r="B37" s="2">
        <v>0.12682191368370996</v>
      </c>
      <c r="C37" s="2">
        <f t="shared" si="14"/>
        <v>0.66554674033703021</v>
      </c>
      <c r="D37" s="2">
        <f t="shared" si="1"/>
        <v>0.72822612510668905</v>
      </c>
      <c r="E37" s="2">
        <f t="shared" si="2"/>
        <v>5.7872801820163411E-2</v>
      </c>
      <c r="F37" s="2">
        <f t="shared" si="3"/>
        <v>7.9470922320570042E-2</v>
      </c>
      <c r="G37" s="2">
        <f t="shared" si="4"/>
        <v>7.3685939842053155E-2</v>
      </c>
      <c r="H37" s="2">
        <f t="shared" si="5"/>
        <v>0.48855971420051242</v>
      </c>
      <c r="I37" s="7">
        <f t="shared" si="6"/>
        <v>3.599998170982964E-2</v>
      </c>
      <c r="J37" s="1"/>
    </row>
    <row r="38" spans="1:10" x14ac:dyDescent="0.25">
      <c r="A38" s="7">
        <v>3.6999999999999998E-2</v>
      </c>
      <c r="B38" s="2">
        <v>0.12852369155479101</v>
      </c>
      <c r="C38" s="2">
        <f t="shared" si="14"/>
        <v>0.66934401398360155</v>
      </c>
      <c r="D38" s="2">
        <f t="shared" si="1"/>
        <v>0.73332549126196311</v>
      </c>
      <c r="E38" s="2">
        <f t="shared" si="2"/>
        <v>5.9008651118227465E-2</v>
      </c>
      <c r="F38" s="2">
        <f t="shared" si="3"/>
        <v>8.0467202928785175E-2</v>
      </c>
      <c r="G38" s="2">
        <f t="shared" si="4"/>
        <v>7.5132148085207989E-2</v>
      </c>
      <c r="H38" s="2">
        <f t="shared" si="5"/>
        <v>0.492378760164489</v>
      </c>
      <c r="I38" s="7">
        <f t="shared" si="6"/>
        <v>3.6993473922689493E-2</v>
      </c>
      <c r="J38" s="1"/>
    </row>
    <row r="39" spans="1:10" x14ac:dyDescent="0.25">
      <c r="A39" s="7">
        <v>3.7999999999999999E-2</v>
      </c>
      <c r="B39" s="2">
        <v>0.13022475622824958</v>
      </c>
      <c r="C39" s="2">
        <f t="shared" si="14"/>
        <v>0.6731010892682987</v>
      </c>
      <c r="D39" s="2">
        <f t="shared" si="1"/>
        <v>0.7383940367916646</v>
      </c>
      <c r="E39" s="2">
        <f t="shared" si="2"/>
        <v>6.0150449514308202E-2</v>
      </c>
      <c r="F39" s="2">
        <f t="shared" si="3"/>
        <v>8.1461179962480451E-2</v>
      </c>
      <c r="G39" s="2">
        <f t="shared" si="4"/>
        <v>7.6585930955213169E-2</v>
      </c>
      <c r="H39" s="2">
        <f t="shared" si="5"/>
        <v>0.49617134583211503</v>
      </c>
      <c r="I39" s="7">
        <f t="shared" si="6"/>
        <v>3.7999744433853559E-2</v>
      </c>
      <c r="J39" s="1"/>
    </row>
    <row r="40" spans="1:10" x14ac:dyDescent="0.25">
      <c r="A40" s="7">
        <v>3.9E-2</v>
      </c>
      <c r="B40" s="2">
        <v>0.13189179755240985</v>
      </c>
      <c r="C40" s="2">
        <f t="shared" si="14"/>
        <v>0.67674618961854227</v>
      </c>
      <c r="D40" s="2">
        <f t="shared" si="1"/>
        <v>0.7433339672865521</v>
      </c>
      <c r="E40" s="2">
        <f t="shared" si="2"/>
        <v>6.1275580134769234E-2</v>
      </c>
      <c r="F40" s="2">
        <f t="shared" si="3"/>
        <v>8.2433445572853467E-2</v>
      </c>
      <c r="G40" s="2">
        <f t="shared" si="4"/>
        <v>7.8018491754176564E-2</v>
      </c>
      <c r="H40" s="2">
        <f t="shared" si="5"/>
        <v>0.49986433668014674</v>
      </c>
      <c r="I40" s="7">
        <f t="shared" si="6"/>
        <v>3.8998661629486966E-2</v>
      </c>
      <c r="J40" s="1"/>
    </row>
    <row r="41" spans="1:10" x14ac:dyDescent="0.25">
      <c r="A41" s="7">
        <v>0.04</v>
      </c>
      <c r="B41" s="2">
        <v>0.13353642093426535</v>
      </c>
      <c r="C41" s="2">
        <f t="shared" si="14"/>
        <v>0.68030712246258906</v>
      </c>
      <c r="D41" s="2">
        <f t="shared" si="1"/>
        <v>0.74818158866316242</v>
      </c>
      <c r="E41" s="2">
        <f t="shared" si="2"/>
        <v>6.2391505685014878E-2</v>
      </c>
      <c r="F41" s="2">
        <f t="shared" si="3"/>
        <v>8.3390859425577307E-2</v>
      </c>
      <c r="G41" s="2">
        <f t="shared" si="4"/>
        <v>7.9439332293729667E-2</v>
      </c>
      <c r="H41" s="2">
        <f t="shared" si="5"/>
        <v>0.50348498749017334</v>
      </c>
      <c r="I41" s="7">
        <f t="shared" si="6"/>
        <v>3.9996511226136205E-2</v>
      </c>
      <c r="J41" s="1"/>
    </row>
    <row r="42" spans="1:10" x14ac:dyDescent="0.25">
      <c r="A42" s="7">
        <v>4.1000000000000002E-2</v>
      </c>
      <c r="B42" s="2">
        <v>0.13517213302138378</v>
      </c>
      <c r="C42" s="2">
        <f t="shared" si="14"/>
        <v>0.68381467511551142</v>
      </c>
      <c r="D42" s="2">
        <f t="shared" si="1"/>
        <v>0.75297796081761259</v>
      </c>
      <c r="E42" s="2">
        <f t="shared" si="2"/>
        <v>6.3507165538869412E-2</v>
      </c>
      <c r="F42" s="2">
        <f t="shared" si="3"/>
        <v>8.4341333802002483E-2</v>
      </c>
      <c r="G42" s="2">
        <f t="shared" si="4"/>
        <v>8.0859834538130712E-2</v>
      </c>
      <c r="H42" s="2">
        <f t="shared" si="5"/>
        <v>0.50706400820829023</v>
      </c>
      <c r="I42" s="7">
        <f t="shared" si="6"/>
        <v>4.1001111803963701E-2</v>
      </c>
      <c r="J42" s="1"/>
    </row>
    <row r="43" spans="1:10" x14ac:dyDescent="0.25">
      <c r="A43" s="7">
        <v>4.2000000000000003E-2</v>
      </c>
      <c r="B43" s="2">
        <v>0.13677919565801588</v>
      </c>
      <c r="C43" s="2">
        <f t="shared" si="14"/>
        <v>0.68722819294077886</v>
      </c>
      <c r="D43" s="2">
        <f t="shared" si="1"/>
        <v>0.75766653687924557</v>
      </c>
      <c r="E43" s="2">
        <f t="shared" si="2"/>
        <v>6.4608845716592422E-2</v>
      </c>
      <c r="F43" s="2">
        <f t="shared" si="3"/>
        <v>8.5273458139922542E-2</v>
      </c>
      <c r="G43" s="2">
        <f t="shared" si="4"/>
        <v>8.2262537306058509E-2</v>
      </c>
      <c r="H43" s="2">
        <f t="shared" si="5"/>
        <v>0.51055927103879928</v>
      </c>
      <c r="I43" s="7">
        <f t="shared" si="6"/>
        <v>4.1999901080783261E-2</v>
      </c>
      <c r="J43" s="1"/>
    </row>
    <row r="44" spans="1:10" x14ac:dyDescent="0.25">
      <c r="A44" s="7">
        <v>4.2999999999999997E-2</v>
      </c>
      <c r="B44" s="2">
        <v>0.13836910874088826</v>
      </c>
      <c r="C44" s="2">
        <f t="shared" si="14"/>
        <v>0.69057395979616987</v>
      </c>
      <c r="D44" s="2">
        <f t="shared" si="1"/>
        <v>0.76228232371595572</v>
      </c>
      <c r="E44" s="2">
        <f t="shared" si="2"/>
        <v>6.570414264827748E-2</v>
      </c>
      <c r="F44" s="2">
        <f t="shared" si="3"/>
        <v>8.6193973812726615E-2</v>
      </c>
      <c r="G44" s="2">
        <f t="shared" si="4"/>
        <v>8.3657112672707007E-2</v>
      </c>
      <c r="H44" s="2">
        <f t="shared" si="5"/>
        <v>0.51399697050631177</v>
      </c>
      <c r="I44" s="7">
        <f t="shared" si="6"/>
        <v>4.2999502475076584E-2</v>
      </c>
      <c r="J44" s="1"/>
    </row>
    <row r="45" spans="1:10" x14ac:dyDescent="0.25">
      <c r="A45" s="7">
        <v>4.3999999999999997E-2</v>
      </c>
      <c r="B45" s="2">
        <v>0.13994044253796017</v>
      </c>
      <c r="C45" s="2">
        <f t="shared" si="14"/>
        <v>0.69385045962437764</v>
      </c>
      <c r="D45" s="2">
        <f t="shared" si="1"/>
        <v>0.76682235082331074</v>
      </c>
      <c r="E45" s="2">
        <f t="shared" si="2"/>
        <v>6.6791842987234507E-2</v>
      </c>
      <c r="F45" s="2">
        <f t="shared" si="3"/>
        <v>8.7102107698768041E-2</v>
      </c>
      <c r="G45" s="2">
        <f t="shared" si="4"/>
        <v>8.5042015757088932E-2</v>
      </c>
      <c r="H45" s="2">
        <f t="shared" si="5"/>
        <v>0.51737496461567178</v>
      </c>
      <c r="I45" s="7">
        <f t="shared" si="6"/>
        <v>4.399860989316929E-2</v>
      </c>
      <c r="J45" s="1"/>
    </row>
    <row r="46" spans="1:10" x14ac:dyDescent="0.25">
      <c r="A46" s="7">
        <v>4.4999999999999998E-2</v>
      </c>
      <c r="B46" s="2">
        <v>0.14149945064827377</v>
      </c>
      <c r="C46" s="2">
        <f t="shared" si="14"/>
        <v>0.69707203677815255</v>
      </c>
      <c r="D46" s="2">
        <f t="shared" si="1"/>
        <v>0.771305722119486</v>
      </c>
      <c r="E46" s="2">
        <f t="shared" si="2"/>
        <v>6.7876076468524296E-2</v>
      </c>
      <c r="F46" s="2">
        <f t="shared" si="3"/>
        <v>8.8001520696626367E-2</v>
      </c>
      <c r="G46" s="2">
        <f t="shared" si="4"/>
        <v>8.6422504701192962E-2</v>
      </c>
      <c r="H46" s="2">
        <f t="shared" si="5"/>
        <v>0.52070752651625152</v>
      </c>
      <c r="I46" s="7">
        <f t="shared" si="6"/>
        <v>4.5000848658297309E-2</v>
      </c>
      <c r="J46" s="1"/>
    </row>
    <row r="47" spans="1:10" x14ac:dyDescent="0.25">
      <c r="A47" s="7">
        <v>4.5999999999999999E-2</v>
      </c>
      <c r="B47" s="2">
        <v>0.14302881394393691</v>
      </c>
      <c r="C47" s="2">
        <f t="shared" si="14"/>
        <v>0.70020446249856927</v>
      </c>
      <c r="D47" s="2">
        <f t="shared" si="1"/>
        <v>0.77568384156416259</v>
      </c>
      <c r="E47" s="2">
        <f t="shared" si="2"/>
        <v>6.8944551661109438E-2</v>
      </c>
      <c r="F47" s="2">
        <f t="shared" si="3"/>
        <v>8.8882284207549164E-2</v>
      </c>
      <c r="G47" s="2">
        <f t="shared" si="4"/>
        <v>8.7782929568960888E-2</v>
      </c>
      <c r="H47" s="2">
        <f t="shared" si="5"/>
        <v>0.52395863134233001</v>
      </c>
      <c r="I47" s="7">
        <f t="shared" si="6"/>
        <v>4.5994623632172896E-2</v>
      </c>
      <c r="J47" s="1"/>
    </row>
    <row r="48" spans="1:10" x14ac:dyDescent="0.25">
      <c r="A48" s="7">
        <v>4.7E-2</v>
      </c>
      <c r="B48" s="2">
        <v>0.14454655068240163</v>
      </c>
      <c r="C48" s="2">
        <f t="shared" si="14"/>
        <v>0.70328613058476142</v>
      </c>
      <c r="D48" s="2">
        <f t="shared" si="1"/>
        <v>0.78000944055125132</v>
      </c>
      <c r="E48" s="2">
        <f t="shared" si="2"/>
        <v>7.0009619651022648E-2</v>
      </c>
      <c r="F48" s="2">
        <f t="shared" si="3"/>
        <v>8.9754836302423688E-2</v>
      </c>
      <c r="G48" s="2">
        <f t="shared" si="4"/>
        <v>8.9139016251549977E-2</v>
      </c>
      <c r="H48" s="2">
        <f t="shared" si="5"/>
        <v>0.52716753460761934</v>
      </c>
      <c r="I48" s="7">
        <f t="shared" si="6"/>
        <v>4.6991195434678112E-2</v>
      </c>
      <c r="J48" s="1"/>
    </row>
    <row r="49" spans="1:10" x14ac:dyDescent="0.25">
      <c r="A49" s="7">
        <v>4.8000000000000001E-2</v>
      </c>
      <c r="B49" s="2">
        <v>0.14606716489335561</v>
      </c>
      <c r="C49" s="2">
        <f t="shared" si="14"/>
        <v>0.70634707682094322</v>
      </c>
      <c r="D49" s="2">
        <f t="shared" si="1"/>
        <v>0.78432435550549429</v>
      </c>
      <c r="E49" s="2">
        <f t="shared" si="2"/>
        <v>7.1081377142109978E-2</v>
      </c>
      <c r="F49" s="2">
        <f t="shared" si="3"/>
        <v>9.0627527556884649E-2</v>
      </c>
      <c r="G49" s="2">
        <f t="shared" si="4"/>
        <v>9.0503620271568511E-2</v>
      </c>
      <c r="H49" s="2">
        <f t="shared" si="5"/>
        <v>0.53036526967767739</v>
      </c>
      <c r="I49" s="7">
        <f t="shared" si="6"/>
        <v>4.7999976972136545E-2</v>
      </c>
      <c r="J49" s="1"/>
    </row>
    <row r="50" spans="1:10" x14ac:dyDescent="0.25">
      <c r="A50" s="7">
        <v>4.9000000000000002E-2</v>
      </c>
      <c r="B50" s="2">
        <v>0.14755940708319046</v>
      </c>
      <c r="C50" s="2">
        <f t="shared" si="14"/>
        <v>0.7093253934956727</v>
      </c>
      <c r="D50" s="2">
        <f t="shared" si="1"/>
        <v>0.78854069794464721</v>
      </c>
      <c r="E50" s="2">
        <f t="shared" si="2"/>
        <v>7.2137643358879747E-2</v>
      </c>
      <c r="F50" s="2">
        <f t="shared" si="3"/>
        <v>9.148246063508006E-2</v>
      </c>
      <c r="G50" s="2">
        <f t="shared" si="4"/>
        <v>9.1848500188527582E-2</v>
      </c>
      <c r="H50" s="2">
        <f t="shared" si="5"/>
        <v>0.53348675675414725</v>
      </c>
      <c r="I50" s="7">
        <f t="shared" si="6"/>
        <v>4.8999958478310263E-2</v>
      </c>
      <c r="J50" s="1"/>
    </row>
    <row r="51" spans="1:10" x14ac:dyDescent="0.25">
      <c r="A51" s="7">
        <v>0.05</v>
      </c>
      <c r="B51" s="2">
        <v>0.14903706353478907</v>
      </c>
      <c r="C51" s="2">
        <f t="shared" si="14"/>
        <v>0.71225000450043197</v>
      </c>
      <c r="D51" s="2">
        <f t="shared" si="1"/>
        <v>0.79269849168520612</v>
      </c>
      <c r="E51" s="2">
        <f t="shared" si="2"/>
        <v>7.318794638288588E-2</v>
      </c>
      <c r="F51" s="2">
        <f t="shared" si="3"/>
        <v>9.2327596369326817E-2</v>
      </c>
      <c r="G51" s="2">
        <f t="shared" si="4"/>
        <v>9.3185787532647113E-2</v>
      </c>
      <c r="H51" s="2">
        <f t="shared" si="5"/>
        <v>0.53656173847314492</v>
      </c>
      <c r="I51" s="7">
        <f t="shared" si="6"/>
        <v>4.9999928159506248E-2</v>
      </c>
      <c r="J51" s="1"/>
    </row>
    <row r="52" spans="1:10" x14ac:dyDescent="0.25">
      <c r="A52" s="7">
        <v>5.5E-2</v>
      </c>
      <c r="B52" s="2">
        <v>0.15621968110839216</v>
      </c>
      <c r="C52" s="2">
        <f t="shared" si="14"/>
        <v>0.72612696504890772</v>
      </c>
      <c r="D52" s="2">
        <f t="shared" si="1"/>
        <v>0.81267205615678562</v>
      </c>
      <c r="E52" s="2">
        <f t="shared" si="2"/>
        <v>7.8353934239041953E-2</v>
      </c>
      <c r="F52" s="2">
        <f t="shared" si="3"/>
        <v>9.6415194352302711E-2</v>
      </c>
      <c r="G52" s="2">
        <f t="shared" si="4"/>
        <v>9.9763327558726661E-2</v>
      </c>
      <c r="H52" s="2">
        <f t="shared" si="5"/>
        <v>0.55128784897015037</v>
      </c>
      <c r="I52" s="7">
        <f t="shared" si="6"/>
        <v>5.4998310255954946E-2</v>
      </c>
      <c r="J52" s="1"/>
    </row>
    <row r="53" spans="1:10" x14ac:dyDescent="0.25">
      <c r="A53" s="7">
        <v>0.06</v>
      </c>
      <c r="B53" s="2">
        <v>0.16310142309385828</v>
      </c>
      <c r="C53" s="2">
        <f t="shared" si="14"/>
        <v>0.73891636571026498</v>
      </c>
      <c r="D53" s="2">
        <f t="shared" si="1"/>
        <v>0.83146068689454633</v>
      </c>
      <c r="E53" s="2">
        <f t="shared" si="2"/>
        <v>8.3395235693413353E-2</v>
      </c>
      <c r="F53" s="2">
        <f t="shared" si="3"/>
        <v>0.10029967382449474</v>
      </c>
      <c r="G53" s="2">
        <f t="shared" si="4"/>
        <v>0.10618211192736321</v>
      </c>
      <c r="H53" s="2">
        <f t="shared" si="5"/>
        <v>0.56506667451231796</v>
      </c>
      <c r="I53" s="7">
        <f t="shared" si="6"/>
        <v>5.9999972879489862E-2</v>
      </c>
      <c r="J53" s="1"/>
    </row>
    <row r="54" spans="1:10" x14ac:dyDescent="0.25">
      <c r="A54" s="7">
        <v>6.5000000000000002E-2</v>
      </c>
      <c r="B54" s="2">
        <v>0.16971096299115301</v>
      </c>
      <c r="C54" s="2">
        <f t="shared" si="14"/>
        <v>0.75075735635894636</v>
      </c>
      <c r="D54" s="2">
        <f t="shared" si="1"/>
        <v>0.8492078386884131</v>
      </c>
      <c r="E54" s="2">
        <f t="shared" si="2"/>
        <v>8.8318497542551194E-2</v>
      </c>
      <c r="F54" s="2">
        <f t="shared" si="3"/>
        <v>0.10400103899059339</v>
      </c>
      <c r="G54" s="2">
        <f t="shared" si="4"/>
        <v>0.11245060360277147</v>
      </c>
      <c r="H54" s="2">
        <f t="shared" si="5"/>
        <v>0.57801091997501852</v>
      </c>
      <c r="I54" s="7">
        <f t="shared" si="6"/>
        <v>6.4997676840184065E-2</v>
      </c>
      <c r="J54" s="1"/>
    </row>
    <row r="55" spans="1:10" x14ac:dyDescent="0.25">
      <c r="A55" s="7">
        <v>7.0000000000000007E-2</v>
      </c>
      <c r="B55" s="2">
        <v>0.17609077574777002</v>
      </c>
      <c r="C55" s="2">
        <f t="shared" si="14"/>
        <v>0.76179476092795118</v>
      </c>
      <c r="D55" s="2">
        <f t="shared" si="1"/>
        <v>0.86607908921739407</v>
      </c>
      <c r="E55" s="2">
        <f t="shared" si="2"/>
        <v>9.3143597278555673E-2</v>
      </c>
      <c r="F55" s="2">
        <f t="shared" si="3"/>
        <v>0.10754629506494845</v>
      </c>
      <c r="G55" s="2">
        <f t="shared" si="4"/>
        <v>0.11859411139394357</v>
      </c>
      <c r="H55" s="2">
        <f t="shared" si="5"/>
        <v>0.5902481752431008</v>
      </c>
      <c r="I55" s="7">
        <f t="shared" si="6"/>
        <v>6.9999957844852231E-2</v>
      </c>
      <c r="J55" s="1"/>
    </row>
    <row r="56" spans="1:10" x14ac:dyDescent="0.25">
      <c r="A56" s="7">
        <v>7.4999999999999997E-2</v>
      </c>
      <c r="B56" s="2">
        <v>0.18225738336134523</v>
      </c>
      <c r="C56" s="2">
        <f t="shared" si="14"/>
        <v>0.77211302170503737</v>
      </c>
      <c r="D56" s="2">
        <f t="shared" si="1"/>
        <v>0.88215952065548187</v>
      </c>
      <c r="E56" s="2">
        <f t="shared" si="2"/>
        <v>9.7873274235201951E-2</v>
      </c>
      <c r="F56" s="2">
        <f t="shared" si="3"/>
        <v>0.11094736489663226</v>
      </c>
      <c r="G56" s="2">
        <f t="shared" si="4"/>
        <v>0.12461612312896826</v>
      </c>
      <c r="H56" s="2">
        <f t="shared" si="5"/>
        <v>0.6018463270395974</v>
      </c>
      <c r="I56" s="7">
        <f t="shared" si="6"/>
        <v>7.4999755995083767E-2</v>
      </c>
      <c r="J56" s="1"/>
    </row>
    <row r="57" spans="1:10" x14ac:dyDescent="0.25">
      <c r="A57" s="7">
        <v>0.08</v>
      </c>
      <c r="B57" s="2">
        <v>0.18823497440498219</v>
      </c>
      <c r="C57" s="2">
        <f t="shared" si="14"/>
        <v>0.7817993830024117</v>
      </c>
      <c r="D57" s="2">
        <f t="shared" si="1"/>
        <v>0.89754641914181421</v>
      </c>
      <c r="E57" s="2">
        <f t="shared" si="2"/>
        <v>0.10251775245949553</v>
      </c>
      <c r="F57" s="2">
        <f t="shared" si="3"/>
        <v>0.11422000051820998</v>
      </c>
      <c r="G57" s="2">
        <f t="shared" si="4"/>
        <v>0.13052965646880019</v>
      </c>
      <c r="H57" s="2">
        <f t="shared" si="5"/>
        <v>0.61288126144207278</v>
      </c>
      <c r="I57" s="7">
        <f t="shared" si="6"/>
        <v>7.9999180512198675E-2</v>
      </c>
      <c r="J57" s="1"/>
    </row>
    <row r="58" spans="1:10" x14ac:dyDescent="0.25">
      <c r="A58" s="7">
        <v>8.5000000000000006E-2</v>
      </c>
      <c r="B58" s="2">
        <v>0.19404343670124904</v>
      </c>
      <c r="C58" s="2">
        <f t="shared" si="14"/>
        <v>0.79092498095436947</v>
      </c>
      <c r="D58" s="2">
        <f t="shared" si="1"/>
        <v>0.91231914549006099</v>
      </c>
      <c r="E58" s="2">
        <f t="shared" si="2"/>
        <v>0.10708544187255077</v>
      </c>
      <c r="F58" s="2">
        <f t="shared" si="3"/>
        <v>0.1173771726724301</v>
      </c>
      <c r="G58" s="2">
        <f t="shared" si="4"/>
        <v>0.13634541925757027</v>
      </c>
      <c r="H58" s="2">
        <f t="shared" si="5"/>
        <v>0.62341503528575626</v>
      </c>
      <c r="I58" s="7">
        <f t="shared" si="6"/>
        <v>8.4999784357509392E-2</v>
      </c>
      <c r="J58" s="1"/>
    </row>
    <row r="59" spans="1:10" x14ac:dyDescent="0.25">
      <c r="A59" s="7">
        <v>0.09</v>
      </c>
      <c r="B59" s="2">
        <v>0.19969231969558196</v>
      </c>
      <c r="C59" s="2">
        <f t="shared" si="14"/>
        <v>0.7995381095361983</v>
      </c>
      <c r="D59" s="2">
        <f t="shared" si="1"/>
        <v>0.92652579516034439</v>
      </c>
      <c r="E59" s="2">
        <f t="shared" si="2"/>
        <v>0.1115777312951884</v>
      </c>
      <c r="F59" s="2">
        <f t="shared" si="3"/>
        <v>0.12042593080301535</v>
      </c>
      <c r="G59" s="2">
        <f t="shared" si="4"/>
        <v>0.142065179796868</v>
      </c>
      <c r="H59" s="2">
        <f t="shared" si="5"/>
        <v>0.63348670087407166</v>
      </c>
      <c r="I59" s="7">
        <f t="shared" si="6"/>
        <v>8.9996402058599725E-2</v>
      </c>
      <c r="J59" s="1"/>
    </row>
    <row r="60" spans="1:10" x14ac:dyDescent="0.25">
      <c r="A60" s="7">
        <v>9.5000000000000001E-2</v>
      </c>
      <c r="B60" s="2">
        <v>0.20520712855776474</v>
      </c>
      <c r="C60" s="2">
        <f t="shared" si="14"/>
        <v>0.80770579531619502</v>
      </c>
      <c r="D60" s="2">
        <f t="shared" si="1"/>
        <v>0.94025046327860873</v>
      </c>
      <c r="E60" s="2">
        <f t="shared" si="2"/>
        <v>0.11600966047875445</v>
      </c>
      <c r="F60" s="2">
        <f t="shared" si="3"/>
        <v>0.12338165734503791</v>
      </c>
      <c r="G60" s="2">
        <f t="shared" si="4"/>
        <v>0.14770808729285012</v>
      </c>
      <c r="H60" s="2">
        <f t="shared" si="5"/>
        <v>0.6431601374949798</v>
      </c>
      <c r="I60" s="7">
        <f t="shared" si="6"/>
        <v>9.4999953732389966E-2</v>
      </c>
      <c r="J60" s="1"/>
    </row>
    <row r="61" spans="1:10" x14ac:dyDescent="0.25">
      <c r="A61" s="7">
        <v>0.1</v>
      </c>
      <c r="B61" s="2">
        <v>0.21058755752252595</v>
      </c>
      <c r="C61" s="11">
        <f t="shared" si="14"/>
        <v>0.81545187016579401</v>
      </c>
      <c r="D61" s="11">
        <f t="shared" si="1"/>
        <v>0.95350943437063063</v>
      </c>
      <c r="E61" s="10">
        <f t="shared" si="2"/>
        <v>0.1203763998589044</v>
      </c>
      <c r="F61" s="10">
        <f t="shared" si="3"/>
        <v>0.12624563063537964</v>
      </c>
      <c r="G61" s="2">
        <f>SUM(E61/0.25)/PI()</f>
        <v>0.15326799255320936</v>
      </c>
      <c r="H61" s="2">
        <f>SUM((F61)/(0.25))^0.625</f>
        <v>0.65245072364242485</v>
      </c>
      <c r="I61" s="7">
        <f>SUM((F61/0.25)^0.625)*G61</f>
        <v>9.9999812652563233E-2</v>
      </c>
      <c r="J61" s="1"/>
    </row>
    <row r="62" spans="1:10" x14ac:dyDescent="0.25">
      <c r="A62" s="7">
        <v>0.105</v>
      </c>
      <c r="B62" s="2">
        <v>0.21584794063856511</v>
      </c>
      <c r="C62" s="11">
        <f t="shared" si="14"/>
        <v>0.82281858792969809</v>
      </c>
      <c r="D62" s="11">
        <f t="shared" si="1"/>
        <v>0.96635300553627812</v>
      </c>
      <c r="E62" s="10">
        <f t="shared" si="2"/>
        <v>0.12468545326352373</v>
      </c>
      <c r="F62" s="10">
        <f t="shared" si="3"/>
        <v>0.12902681789076598</v>
      </c>
      <c r="G62" s="2">
        <f t="shared" ref="G62:G80" si="15">SUM(E62/0.25)/PI()</f>
        <v>0.15875444974834638</v>
      </c>
      <c r="H62" s="2">
        <f t="shared" ref="H62:H80" si="16">SUM((F62)/(0.25))^0.625</f>
        <v>0.66139740442940742</v>
      </c>
      <c r="I62" s="7">
        <f t="shared" ref="I62:I80" si="17">SUM((F62/0.25)^0.625)*G62</f>
        <v>0.10499978100517508</v>
      </c>
      <c r="J62" s="1"/>
    </row>
    <row r="63" spans="1:10" x14ac:dyDescent="0.25">
      <c r="A63" s="7">
        <v>0.11</v>
      </c>
      <c r="B63" s="2">
        <v>0.22099425610615131</v>
      </c>
      <c r="C63" s="11">
        <f t="shared" si="14"/>
        <v>0.82983322390523773</v>
      </c>
      <c r="D63" s="11">
        <f t="shared" si="1"/>
        <v>0.97880874217716973</v>
      </c>
      <c r="E63" s="10">
        <f t="shared" si="2"/>
        <v>0.12893806757253667</v>
      </c>
      <c r="F63" s="10">
        <f t="shared" si="3"/>
        <v>0.13172958313157176</v>
      </c>
      <c r="G63" s="2">
        <f t="shared" si="15"/>
        <v>0.16416904645508826</v>
      </c>
      <c r="H63" s="2">
        <f t="shared" si="16"/>
        <v>0.67002277928287879</v>
      </c>
      <c r="I63" s="7">
        <f t="shared" si="17"/>
        <v>0.10999700077805827</v>
      </c>
      <c r="J63" s="1"/>
    </row>
    <row r="64" spans="1:10" x14ac:dyDescent="0.25">
      <c r="A64" s="7">
        <v>0.115</v>
      </c>
      <c r="B64" s="2">
        <v>0.22604306945213612</v>
      </c>
      <c r="C64" s="11">
        <f t="shared" si="14"/>
        <v>0.83653475768743257</v>
      </c>
      <c r="D64" s="11">
        <f t="shared" si="1"/>
        <v>0.99092791778898504</v>
      </c>
      <c r="E64" s="10">
        <f t="shared" si="2"/>
        <v>0.13314473219092121</v>
      </c>
      <c r="F64" s="10">
        <f t="shared" si="3"/>
        <v>0.1343636906385697</v>
      </c>
      <c r="G64" s="2">
        <f t="shared" si="15"/>
        <v>0.1695251381986537</v>
      </c>
      <c r="H64" s="2">
        <f t="shared" si="16"/>
        <v>0.67836541350364654</v>
      </c>
      <c r="I64" s="7">
        <f t="shared" si="17"/>
        <v>0.11499999047339254</v>
      </c>
      <c r="J64" s="1"/>
    </row>
    <row r="65" spans="1:10" x14ac:dyDescent="0.25">
      <c r="A65" s="7">
        <v>0.12</v>
      </c>
      <c r="B65" s="2">
        <v>0.23099245762713089</v>
      </c>
      <c r="C65" s="11">
        <f t="shared" si="14"/>
        <v>0.8429352101947315</v>
      </c>
      <c r="D65" s="11">
        <f t="shared" si="1"/>
        <v>1.0027157579014305</v>
      </c>
      <c r="E65" s="10">
        <f t="shared" si="2"/>
        <v>0.13730097483833636</v>
      </c>
      <c r="F65" s="10">
        <f t="shared" si="3"/>
        <v>0.13692910852991041</v>
      </c>
      <c r="G65" s="2">
        <f t="shared" si="15"/>
        <v>0.17481703069485743</v>
      </c>
      <c r="H65" s="2">
        <f t="shared" si="16"/>
        <v>0.68643174130561524</v>
      </c>
      <c r="I65" s="7">
        <f t="shared" si="17"/>
        <v>0.11999995878974817</v>
      </c>
      <c r="J65" s="1"/>
    </row>
    <row r="66" spans="1:10" x14ac:dyDescent="0.25">
      <c r="A66" s="7">
        <v>0.125</v>
      </c>
      <c r="B66" s="2">
        <v>0.23585150742322877</v>
      </c>
      <c r="C66" s="11">
        <f t="shared" si="14"/>
        <v>0.84905965366261382</v>
      </c>
      <c r="D66" s="11">
        <f t="shared" ref="D66:D116" si="18">ASIN(((C66)))</f>
        <v>1.0142027818156887</v>
      </c>
      <c r="E66" s="10">
        <f t="shared" ref="E66:E129" si="19">SUM((D66*0.5-(C66*(0.5-B66)))/2)</f>
        <v>0.14141178164255475</v>
      </c>
      <c r="F66" s="10">
        <f t="shared" ref="F66:F129" si="20">SUM(E66/D66)</f>
        <v>0.13943146693937342</v>
      </c>
      <c r="G66" s="2">
        <f t="shared" si="15"/>
        <v>0.18005107247875465</v>
      </c>
      <c r="H66" s="2">
        <f t="shared" si="16"/>
        <v>0.69424537055487623</v>
      </c>
      <c r="I66" s="7">
        <f t="shared" si="17"/>
        <v>0.1249996235318159</v>
      </c>
      <c r="J66" s="1"/>
    </row>
    <row r="67" spans="1:10" x14ac:dyDescent="0.25">
      <c r="A67" s="7">
        <v>0.13</v>
      </c>
      <c r="B67" s="2">
        <v>0.24062227117145399</v>
      </c>
      <c r="C67" s="11">
        <f t="shared" si="14"/>
        <v>0.85492267203003869</v>
      </c>
      <c r="D67" s="11">
        <f t="shared" si="18"/>
        <v>1.0254017568635672</v>
      </c>
      <c r="E67" s="10">
        <f t="shared" si="19"/>
        <v>0.1454764887183001</v>
      </c>
      <c r="F67" s="10">
        <f t="shared" si="20"/>
        <v>0.1418726735589709</v>
      </c>
      <c r="G67" s="2">
        <f t="shared" si="15"/>
        <v>0.18522641826535846</v>
      </c>
      <c r="H67" s="2">
        <f t="shared" si="16"/>
        <v>0.70181753545947956</v>
      </c>
      <c r="I67" s="7">
        <f t="shared" si="17"/>
        <v>0.1299951483689806</v>
      </c>
      <c r="J67" s="1"/>
    </row>
    <row r="68" spans="1:10" x14ac:dyDescent="0.25">
      <c r="A68" s="7">
        <v>0.13500000000000001</v>
      </c>
      <c r="B68" s="2">
        <v>0.24532259052094085</v>
      </c>
      <c r="C68" s="11">
        <f t="shared" si="14"/>
        <v>0.86055660383506583</v>
      </c>
      <c r="D68" s="11">
        <f t="shared" si="18"/>
        <v>1.0363614282918796</v>
      </c>
      <c r="E68" s="10">
        <f t="shared" si="19"/>
        <v>0.14950819378556413</v>
      </c>
      <c r="F68" s="10">
        <f t="shared" si="20"/>
        <v>0.14426259961448201</v>
      </c>
      <c r="G68" s="2">
        <f t="shared" si="15"/>
        <v>0.19035974458970814</v>
      </c>
      <c r="H68" s="2">
        <f t="shared" si="16"/>
        <v>0.70918344792785337</v>
      </c>
      <c r="I68" s="7">
        <f t="shared" si="17"/>
        <v>0.13499998001479474</v>
      </c>
      <c r="J68" s="1"/>
    </row>
    <row r="69" spans="1:10" x14ac:dyDescent="0.25">
      <c r="A69" s="7">
        <v>0.14000000000000001</v>
      </c>
      <c r="B69" s="2">
        <v>0.24994368983805867</v>
      </c>
      <c r="C69" s="11">
        <f t="shared" si="14"/>
        <v>0.86596037264575798</v>
      </c>
      <c r="D69" s="11">
        <f t="shared" si="18"/>
        <v>1.047067503565426</v>
      </c>
      <c r="E69" s="10">
        <f t="shared" si="19"/>
        <v>0.15349744812622754</v>
      </c>
      <c r="F69" s="10">
        <f t="shared" si="20"/>
        <v>0.14659747113108287</v>
      </c>
      <c r="G69" s="2">
        <f t="shared" si="15"/>
        <v>0.19543902097024721</v>
      </c>
      <c r="H69" s="2">
        <f t="shared" si="16"/>
        <v>0.71633561437728199</v>
      </c>
      <c r="I69" s="7">
        <f t="shared" si="17"/>
        <v>0.13999993116001652</v>
      </c>
      <c r="J69" s="1"/>
    </row>
    <row r="70" spans="1:10" x14ac:dyDescent="0.25">
      <c r="A70" s="7">
        <v>0.14499999999999999</v>
      </c>
      <c r="B70" s="2">
        <v>0.25449437449363471</v>
      </c>
      <c r="C70" s="11">
        <f t="shared" si="14"/>
        <v>0.87115323071140205</v>
      </c>
      <c r="D70" s="11">
        <f t="shared" si="18"/>
        <v>1.0575461343407417</v>
      </c>
      <c r="E70" s="10">
        <f t="shared" si="19"/>
        <v>0.15745002417633858</v>
      </c>
      <c r="F70" s="10">
        <f t="shared" si="20"/>
        <v>0.14888241662808455</v>
      </c>
      <c r="G70" s="2">
        <f t="shared" si="15"/>
        <v>0.20047159710082169</v>
      </c>
      <c r="H70" s="2">
        <f t="shared" si="16"/>
        <v>0.7232936054216984</v>
      </c>
      <c r="I70" s="7">
        <f t="shared" si="17"/>
        <v>0.14499982425169941</v>
      </c>
      <c r="J70" s="1"/>
    </row>
    <row r="71" spans="1:10" x14ac:dyDescent="0.25">
      <c r="A71" s="7">
        <v>0.15</v>
      </c>
      <c r="B71" s="2">
        <v>0.25897848900853238</v>
      </c>
      <c r="C71" s="11">
        <f t="shared" si="14"/>
        <v>0.87614754748133572</v>
      </c>
      <c r="D71" s="11">
        <f t="shared" si="18"/>
        <v>1.0678112820366916</v>
      </c>
      <c r="E71" s="10">
        <f t="shared" si="19"/>
        <v>0.16136761763646285</v>
      </c>
      <c r="F71" s="10">
        <f t="shared" si="20"/>
        <v>0.15111997817505549</v>
      </c>
      <c r="G71" s="2">
        <f t="shared" si="15"/>
        <v>0.20545963201444778</v>
      </c>
      <c r="H71" s="2">
        <f t="shared" si="16"/>
        <v>0.73006860162124831</v>
      </c>
      <c r="I71" s="7">
        <f t="shared" si="17"/>
        <v>0.14999962623440416</v>
      </c>
      <c r="J71" s="1"/>
    </row>
    <row r="72" spans="1:10" x14ac:dyDescent="0.25">
      <c r="A72" s="7">
        <v>0.155</v>
      </c>
      <c r="B72" s="2">
        <v>0.26339955181956515</v>
      </c>
      <c r="C72" s="11">
        <f t="shared" si="14"/>
        <v>0.88095454575322407</v>
      </c>
      <c r="D72" s="11">
        <f t="shared" si="18"/>
        <v>1.0778756385930213</v>
      </c>
      <c r="E72" s="10">
        <f t="shared" si="19"/>
        <v>0.16525178947235319</v>
      </c>
      <c r="F72" s="10">
        <f t="shared" si="20"/>
        <v>0.15331248202998687</v>
      </c>
      <c r="G72" s="2">
        <f t="shared" si="15"/>
        <v>0.21040511319444993</v>
      </c>
      <c r="H72" s="2">
        <f t="shared" si="16"/>
        <v>0.73667077542094617</v>
      </c>
      <c r="I72" s="7">
        <f t="shared" si="17"/>
        <v>0.15499929788948738</v>
      </c>
      <c r="J72" s="1"/>
    </row>
    <row r="73" spans="1:10" x14ac:dyDescent="0.25">
      <c r="A73" s="7">
        <v>0.16</v>
      </c>
      <c r="B73" s="2">
        <v>0.26776079283473786</v>
      </c>
      <c r="C73" s="11">
        <f t="shared" si="14"/>
        <v>0.88558444127084901</v>
      </c>
      <c r="D73" s="11">
        <f t="shared" si="18"/>
        <v>1.0877507799974804</v>
      </c>
      <c r="E73" s="10">
        <f t="shared" si="19"/>
        <v>0.16910398074005328</v>
      </c>
      <c r="F73" s="10">
        <f t="shared" si="20"/>
        <v>0.1554620634153395</v>
      </c>
      <c r="G73" s="2">
        <f t="shared" si="15"/>
        <v>0.21530987545036917</v>
      </c>
      <c r="H73" s="2">
        <f t="shared" si="16"/>
        <v>0.74310941185208912</v>
      </c>
      <c r="I73" s="7">
        <f t="shared" si="17"/>
        <v>0.15999879491187038</v>
      </c>
      <c r="J73" s="1"/>
    </row>
    <row r="74" spans="1:10" x14ac:dyDescent="0.25">
      <c r="A74" s="7">
        <v>0.16500000000000001</v>
      </c>
      <c r="B74" s="2">
        <v>0.27206554200418409</v>
      </c>
      <c r="C74" s="11">
        <f t="shared" si="14"/>
        <v>0.8900469265339972</v>
      </c>
      <c r="D74" s="11">
        <f t="shared" si="18"/>
        <v>1.097448097837856</v>
      </c>
      <c r="E74" s="10">
        <f t="shared" si="19"/>
        <v>0.17292584256427979</v>
      </c>
      <c r="F74" s="10">
        <f t="shared" si="20"/>
        <v>0.15757086180655894</v>
      </c>
      <c r="G74" s="2">
        <f t="shared" si="15"/>
        <v>0.22017602105948803</v>
      </c>
      <c r="H74" s="2">
        <f t="shared" si="16"/>
        <v>0.74939352879485976</v>
      </c>
      <c r="I74" s="7">
        <f t="shared" si="17"/>
        <v>0.16499848537778108</v>
      </c>
      <c r="J74" s="1"/>
    </row>
    <row r="75" spans="1:10" x14ac:dyDescent="0.25">
      <c r="A75" s="7">
        <v>0.17</v>
      </c>
      <c r="B75" s="2">
        <v>0.27631793335218802</v>
      </c>
      <c r="C75" s="11">
        <f t="shared" si="14"/>
        <v>0.89435190626545613</v>
      </c>
      <c r="D75" s="11">
        <f t="shared" si="18"/>
        <v>1.106980404338795</v>
      </c>
      <c r="E75" s="10">
        <f t="shared" si="19"/>
        <v>0.17671985973276499</v>
      </c>
      <c r="F75" s="10">
        <f t="shared" si="20"/>
        <v>0.15964136225005776</v>
      </c>
      <c r="G75" s="2">
        <f t="shared" si="15"/>
        <v>0.22500671375180753</v>
      </c>
      <c r="H75" s="2">
        <f t="shared" si="16"/>
        <v>0.75553290801862705</v>
      </c>
      <c r="I75" s="7">
        <f t="shared" si="17"/>
        <v>0.16999997676461795</v>
      </c>
      <c r="J75" s="1"/>
    </row>
    <row r="76" spans="1:10" x14ac:dyDescent="0.25">
      <c r="A76" s="7">
        <v>0.17499999999999999</v>
      </c>
      <c r="B76" s="2">
        <v>0.28051548456247261</v>
      </c>
      <c r="C76" s="11">
        <f t="shared" si="14"/>
        <v>0.89850219250295393</v>
      </c>
      <c r="D76" s="11">
        <f t="shared" si="18"/>
        <v>1.1163454062870939</v>
      </c>
      <c r="E76" s="10">
        <f t="shared" si="19"/>
        <v>0.18048269240124007</v>
      </c>
      <c r="F76" s="10">
        <f t="shared" si="20"/>
        <v>0.16167280429944708</v>
      </c>
      <c r="G76" s="2">
        <f t="shared" si="15"/>
        <v>0.22979770110553133</v>
      </c>
      <c r="H76" s="2">
        <f t="shared" si="16"/>
        <v>0.76152751875628011</v>
      </c>
      <c r="I76" s="7">
        <f t="shared" si="17"/>
        <v>0.17499727313879257</v>
      </c>
      <c r="J76" s="1"/>
    </row>
    <row r="77" spans="1:10" x14ac:dyDescent="0.25">
      <c r="A77" s="7">
        <v>0.18</v>
      </c>
      <c r="B77" s="2">
        <v>0.28466865029415533</v>
      </c>
      <c r="C77" s="11">
        <f t="shared" si="14"/>
        <v>0.90251295798754982</v>
      </c>
      <c r="D77" s="11">
        <f t="shared" si="18"/>
        <v>1.1255693959550934</v>
      </c>
      <c r="E77" s="10">
        <f t="shared" si="19"/>
        <v>0.18422268230353667</v>
      </c>
      <c r="F77" s="10">
        <f t="shared" si="20"/>
        <v>0.16367065679430268</v>
      </c>
      <c r="G77" s="2">
        <f t="shared" si="15"/>
        <v>0.23455960414604554</v>
      </c>
      <c r="H77" s="2">
        <f t="shared" si="16"/>
        <v>0.76739552148414281</v>
      </c>
      <c r="I77" s="7">
        <f t="shared" si="17"/>
        <v>0.17999998974276873</v>
      </c>
      <c r="J77" s="1"/>
    </row>
    <row r="78" spans="1:10" x14ac:dyDescent="0.25">
      <c r="A78" s="7">
        <v>0.185</v>
      </c>
      <c r="B78" s="2">
        <v>0.28877284512248386</v>
      </c>
      <c r="C78" s="11">
        <f t="shared" si="14"/>
        <v>0.90638422105054284</v>
      </c>
      <c r="D78" s="11">
        <f t="shared" si="18"/>
        <v>1.1346449071687004</v>
      </c>
      <c r="E78" s="10">
        <f t="shared" si="19"/>
        <v>0.18793474667298515</v>
      </c>
      <c r="F78" s="10">
        <f t="shared" si="20"/>
        <v>0.16563309409455867</v>
      </c>
      <c r="G78" s="2">
        <f t="shared" si="15"/>
        <v>0.23928595129382976</v>
      </c>
      <c r="H78" s="2">
        <f t="shared" si="16"/>
        <v>0.77313341020852289</v>
      </c>
      <c r="I78" s="7">
        <f t="shared" si="17"/>
        <v>0.18499996353878911</v>
      </c>
      <c r="J78" s="1"/>
    </row>
    <row r="79" spans="1:10" x14ac:dyDescent="0.25">
      <c r="A79" s="7">
        <v>0.19</v>
      </c>
      <c r="B79" s="2">
        <v>0.29283241578049346</v>
      </c>
      <c r="C79" s="11">
        <f t="shared" si="14"/>
        <v>0.91012436963011523</v>
      </c>
      <c r="D79" s="11">
        <f t="shared" si="18"/>
        <v>1.1435841296872056</v>
      </c>
      <c r="E79" s="10">
        <f t="shared" si="19"/>
        <v>0.19162189892401529</v>
      </c>
      <c r="F79" s="10">
        <f t="shared" si="20"/>
        <v>0.16756257274786415</v>
      </c>
      <c r="G79" s="2">
        <f t="shared" si="15"/>
        <v>0.24398057934730061</v>
      </c>
      <c r="H79" s="2">
        <f t="shared" si="16"/>
        <v>0.77875012970871071</v>
      </c>
      <c r="I79" s="7">
        <f t="shared" si="17"/>
        <v>0.18999990781311674</v>
      </c>
      <c r="J79" s="1"/>
    </row>
    <row r="80" spans="1:10" x14ac:dyDescent="0.25">
      <c r="A80" s="7">
        <v>0.19500000000000001</v>
      </c>
      <c r="B80" s="2">
        <v>0.29684929590131193</v>
      </c>
      <c r="C80" s="11">
        <f t="shared" si="14"/>
        <v>0.91373911249154105</v>
      </c>
      <c r="D80" s="11">
        <f t="shared" si="18"/>
        <v>1.15239367970364</v>
      </c>
      <c r="E80" s="10">
        <f t="shared" si="19"/>
        <v>0.19528504789332657</v>
      </c>
      <c r="F80" s="10">
        <f t="shared" si="20"/>
        <v>0.16946036005989537</v>
      </c>
      <c r="G80" s="2">
        <f t="shared" si="15"/>
        <v>0.24864464547328358</v>
      </c>
      <c r="H80" s="2">
        <f t="shared" si="16"/>
        <v>0.78425098458363351</v>
      </c>
      <c r="I80" s="7">
        <f t="shared" si="17"/>
        <v>0.19499980802387115</v>
      </c>
      <c r="J80" s="1"/>
    </row>
    <row r="81" spans="1:10" x14ac:dyDescent="0.25">
      <c r="A81" s="7">
        <v>0.2</v>
      </c>
      <c r="B81" s="2">
        <v>0.30082553295730102</v>
      </c>
      <c r="C81" s="11">
        <f t="shared" ref="C81:C144" si="21">SUM(2*((B81-B81^2)^0.5))</f>
        <v>0.91723395418673159</v>
      </c>
      <c r="D81" s="11">
        <f t="shared" si="18"/>
        <v>1.1610802346850608</v>
      </c>
      <c r="E81" s="10">
        <f t="shared" si="19"/>
        <v>0.19892526668196039</v>
      </c>
      <c r="F81" s="10">
        <f t="shared" si="20"/>
        <v>0.17132775215652363</v>
      </c>
      <c r="G81" s="2">
        <f>SUM(E81/0.25)/PI()</f>
        <v>0.25327951598646009</v>
      </c>
      <c r="H81" s="2">
        <f>SUM((F81)/(0.25))^0.625</f>
        <v>0.78964123241569084</v>
      </c>
      <c r="I81" s="7">
        <f>SUM((F81/0.25)^0.625)*G81</f>
        <v>0.19999994914919803</v>
      </c>
      <c r="J81" s="1"/>
    </row>
    <row r="82" spans="1:10" x14ac:dyDescent="0.25">
      <c r="A82" s="7">
        <v>0.20499999999999999</v>
      </c>
      <c r="B82" s="2">
        <v>0.30476708871253916</v>
      </c>
      <c r="C82" s="11">
        <f t="shared" si="21"/>
        <v>0.92061742401547553</v>
      </c>
      <c r="D82" s="11">
        <f t="shared" si="18"/>
        <v>1.1696587990451306</v>
      </c>
      <c r="E82" s="10">
        <f t="shared" si="19"/>
        <v>0.20254728982503062</v>
      </c>
      <c r="F82" s="10">
        <f t="shared" si="20"/>
        <v>0.17316784175896704</v>
      </c>
      <c r="G82" s="2">
        <f t="shared" ref="G82:G95" si="22">SUM(E82/0.25)/PI()</f>
        <v>0.25789121908416307</v>
      </c>
      <c r="H82" s="2">
        <f t="shared" ref="H82:H95" si="23">SUM((F82)/(0.25))^0.625</f>
        <v>0.79493116234737082</v>
      </c>
      <c r="I82" s="7">
        <f t="shared" ref="I82:I95" si="24">SUM((F82/0.25)^0.625)*G82</f>
        <v>0.2050057665457542</v>
      </c>
      <c r="J82" s="1"/>
    </row>
    <row r="83" spans="1:10" x14ac:dyDescent="0.25">
      <c r="A83" s="7">
        <v>0.21</v>
      </c>
      <c r="B83" s="2">
        <v>0.30866177374960652</v>
      </c>
      <c r="C83" s="11">
        <f t="shared" si="21"/>
        <v>0.92388242363485462</v>
      </c>
      <c r="D83" s="11">
        <f t="shared" si="18"/>
        <v>1.178104800035032</v>
      </c>
      <c r="E83" s="10">
        <f t="shared" si="19"/>
        <v>0.20613918790765418</v>
      </c>
      <c r="F83" s="10">
        <f t="shared" si="20"/>
        <v>0.17497525508895681</v>
      </c>
      <c r="G83" s="2">
        <f t="shared" si="22"/>
        <v>0.26246456576361776</v>
      </c>
      <c r="H83" s="2">
        <f t="shared" si="23"/>
        <v>0.80010667144835523</v>
      </c>
      <c r="I83" s="7">
        <f t="shared" si="24"/>
        <v>0.20999965008626614</v>
      </c>
      <c r="J83" s="1"/>
    </row>
    <row r="84" spans="1:10" x14ac:dyDescent="0.25">
      <c r="A84" s="7">
        <v>0.215</v>
      </c>
      <c r="B84" s="2">
        <v>0.31252421869211527</v>
      </c>
      <c r="C84" s="11">
        <f t="shared" si="21"/>
        <v>0.92704440330115401</v>
      </c>
      <c r="D84" s="11">
        <f t="shared" si="18"/>
        <v>1.1864518021115611</v>
      </c>
      <c r="E84" s="10">
        <f t="shared" si="19"/>
        <v>0.20971376361989746</v>
      </c>
      <c r="F84" s="10">
        <f t="shared" si="20"/>
        <v>0.17675708633647325</v>
      </c>
      <c r="G84" s="2">
        <f t="shared" si="22"/>
        <v>0.26701585691609581</v>
      </c>
      <c r="H84" s="2">
        <f t="shared" si="23"/>
        <v>0.8051893386610367</v>
      </c>
      <c r="I84" s="7">
        <f t="shared" si="24"/>
        <v>0.21499832124228119</v>
      </c>
      <c r="J84" s="1"/>
    </row>
    <row r="85" spans="1:10" x14ac:dyDescent="0.25">
      <c r="A85" s="7">
        <v>0.22</v>
      </c>
      <c r="B85" s="2">
        <v>0.31635089384862847</v>
      </c>
      <c r="C85" s="11">
        <f t="shared" si="21"/>
        <v>0.93010323257109961</v>
      </c>
      <c r="D85" s="11">
        <f t="shared" si="18"/>
        <v>1.1946938038139885</v>
      </c>
      <c r="E85" s="10">
        <f t="shared" si="19"/>
        <v>0.2132671373084053</v>
      </c>
      <c r="F85" s="10">
        <f t="shared" si="20"/>
        <v>0.17851196400915675</v>
      </c>
      <c r="G85" s="2">
        <f t="shared" si="22"/>
        <v>0.27154015281352539</v>
      </c>
      <c r="H85" s="2">
        <f t="shared" si="23"/>
        <v>0.81017637466657311</v>
      </c>
      <c r="I85" s="7">
        <f t="shared" si="24"/>
        <v>0.21999541658286925</v>
      </c>
      <c r="J85" s="1"/>
    </row>
    <row r="86" spans="1:10" x14ac:dyDescent="0.25">
      <c r="A86" s="7">
        <v>0.22500000000000001</v>
      </c>
      <c r="B86" s="2">
        <v>0.32014276910169609</v>
      </c>
      <c r="C86" s="11">
        <f t="shared" si="21"/>
        <v>0.93306243412452128</v>
      </c>
      <c r="D86" s="11">
        <f t="shared" si="18"/>
        <v>1.2028344740292713</v>
      </c>
      <c r="E86" s="10">
        <f t="shared" si="19"/>
        <v>0.21679960567888407</v>
      </c>
      <c r="F86" s="10">
        <f t="shared" si="20"/>
        <v>0.18024059865248607</v>
      </c>
      <c r="G86" s="2">
        <f t="shared" si="22"/>
        <v>0.27603783123334513</v>
      </c>
      <c r="H86" s="2">
        <f t="shared" si="23"/>
        <v>0.81507089018389656</v>
      </c>
      <c r="I86" s="7">
        <f t="shared" si="24"/>
        <v>0.22499040082779481</v>
      </c>
      <c r="J86" s="1"/>
    </row>
    <row r="87" spans="1:10" x14ac:dyDescent="0.25">
      <c r="A87" s="7">
        <v>0.23</v>
      </c>
      <c r="B87" s="2">
        <v>0.32391368373733842</v>
      </c>
      <c r="C87" s="11">
        <f t="shared" si="21"/>
        <v>0.93593506019391304</v>
      </c>
      <c r="D87" s="11">
        <f t="shared" si="18"/>
        <v>1.2109048843534491</v>
      </c>
      <c r="E87" s="10">
        <f t="shared" si="19"/>
        <v>0.22032354258305298</v>
      </c>
      <c r="F87" s="10">
        <f t="shared" si="20"/>
        <v>0.18194950357367878</v>
      </c>
      <c r="G87" s="2">
        <f t="shared" si="22"/>
        <v>0.2805246470528846</v>
      </c>
      <c r="H87" s="2">
        <f t="shared" si="23"/>
        <v>0.81989226921651737</v>
      </c>
      <c r="I87" s="7">
        <f t="shared" si="24"/>
        <v>0.22999998944335218</v>
      </c>
      <c r="J87" s="1"/>
    </row>
    <row r="88" spans="1:10" x14ac:dyDescent="0.25">
      <c r="A88" s="7">
        <v>0.23499999999999999</v>
      </c>
      <c r="B88" s="2">
        <v>0.32764657460654828</v>
      </c>
      <c r="C88" s="11">
        <f t="shared" si="21"/>
        <v>0.93871038506057636</v>
      </c>
      <c r="D88" s="11">
        <f t="shared" si="18"/>
        <v>1.2188698489154326</v>
      </c>
      <c r="E88" s="10">
        <f t="shared" si="19"/>
        <v>0.22382248707005997</v>
      </c>
      <c r="F88" s="10">
        <f t="shared" si="20"/>
        <v>0.18363116231747004</v>
      </c>
      <c r="G88" s="2">
        <f t="shared" si="22"/>
        <v>0.28497964153857502</v>
      </c>
      <c r="H88" s="2">
        <f t="shared" si="23"/>
        <v>0.82462022833272974</v>
      </c>
      <c r="I88" s="7">
        <f t="shared" si="24"/>
        <v>0.23499997707571921</v>
      </c>
      <c r="J88" s="1"/>
    </row>
    <row r="89" spans="1:10" x14ac:dyDescent="0.25">
      <c r="A89" s="7">
        <v>0.24</v>
      </c>
      <c r="B89" s="2">
        <v>0.33134983345744451</v>
      </c>
      <c r="C89" s="11">
        <f t="shared" si="21"/>
        <v>0.94139709225208101</v>
      </c>
      <c r="D89" s="11">
        <f t="shared" si="18"/>
        <v>1.2267486318868228</v>
      </c>
      <c r="E89" s="10">
        <f t="shared" si="19"/>
        <v>0.22730376977621025</v>
      </c>
      <c r="F89" s="10">
        <f t="shared" si="20"/>
        <v>0.18528960527683785</v>
      </c>
      <c r="G89" s="2">
        <f t="shared" si="22"/>
        <v>0.28941214834644818</v>
      </c>
      <c r="H89" s="2">
        <f t="shared" si="23"/>
        <v>0.82926704073313307</v>
      </c>
      <c r="I89" s="7">
        <f t="shared" si="24"/>
        <v>0.23999995581147759</v>
      </c>
      <c r="J89" s="1"/>
    </row>
    <row r="90" spans="1:10" x14ac:dyDescent="0.25">
      <c r="A90" s="7">
        <v>0.245</v>
      </c>
      <c r="B90" s="2">
        <v>0.33502455425096961</v>
      </c>
      <c r="C90" s="11">
        <f t="shared" si="21"/>
        <v>0.94399809809111102</v>
      </c>
      <c r="D90" s="11">
        <f t="shared" si="18"/>
        <v>1.2345447739368687</v>
      </c>
      <c r="E90" s="10">
        <f t="shared" si="19"/>
        <v>0.23076793997480821</v>
      </c>
      <c r="F90" s="10">
        <f t="shared" si="20"/>
        <v>0.18692553307637999</v>
      </c>
      <c r="G90" s="2">
        <f t="shared" si="22"/>
        <v>0.29382286683299619</v>
      </c>
      <c r="H90" s="2">
        <f t="shared" si="23"/>
        <v>0.83383551151441215</v>
      </c>
      <c r="I90" s="7">
        <f t="shared" si="24"/>
        <v>0.24499994046032239</v>
      </c>
      <c r="J90" s="1"/>
    </row>
    <row r="91" spans="1:10" x14ac:dyDescent="0.25">
      <c r="A91" s="7">
        <v>0.25</v>
      </c>
      <c r="B91" s="2">
        <v>0.33867093546783289</v>
      </c>
      <c r="C91" s="11">
        <f t="shared" si="21"/>
        <v>0.94651557395993402</v>
      </c>
      <c r="D91" s="11">
        <f t="shared" si="18"/>
        <v>1.242259847747724</v>
      </c>
      <c r="E91" s="10">
        <f t="shared" si="19"/>
        <v>0.23421472588088932</v>
      </c>
      <c r="F91" s="10">
        <f t="shared" si="20"/>
        <v>0.18853923863476044</v>
      </c>
      <c r="G91" s="2">
        <f t="shared" si="22"/>
        <v>0.29821145095085444</v>
      </c>
      <c r="H91" s="2">
        <f t="shared" si="23"/>
        <v>0.83832725861799362</v>
      </c>
      <c r="I91" s="7">
        <f t="shared" si="24"/>
        <v>0.24999878816412408</v>
      </c>
      <c r="J91" s="1"/>
    </row>
    <row r="92" spans="1:10" x14ac:dyDescent="0.25">
      <c r="A92" s="7">
        <v>0.26</v>
      </c>
      <c r="B92" s="2">
        <v>0.34588108164214287</v>
      </c>
      <c r="C92" s="11">
        <f t="shared" si="21"/>
        <v>0.95130932719952699</v>
      </c>
      <c r="D92" s="11">
        <f t="shared" si="18"/>
        <v>1.2574562073623747</v>
      </c>
      <c r="E92" s="10">
        <f t="shared" si="19"/>
        <v>0.24105666957472774</v>
      </c>
      <c r="F92" s="10">
        <f t="shared" si="20"/>
        <v>0.19170184071886318</v>
      </c>
      <c r="G92" s="2">
        <f t="shared" si="22"/>
        <v>0.30692288422470088</v>
      </c>
      <c r="H92" s="2">
        <f t="shared" si="23"/>
        <v>0.84708876450824366</v>
      </c>
      <c r="I92" s="7">
        <f t="shared" si="24"/>
        <v>0.25999092679720859</v>
      </c>
      <c r="J92" s="1"/>
    </row>
    <row r="93" spans="1:10" x14ac:dyDescent="0.25">
      <c r="A93" s="7">
        <v>0.27</v>
      </c>
      <c r="B93" s="2">
        <v>0.35300444289317601</v>
      </c>
      <c r="C93" s="11">
        <f t="shared" si="21"/>
        <v>0.95580815269771457</v>
      </c>
      <c r="D93" s="11">
        <f t="shared" si="18"/>
        <v>1.2723965114046296</v>
      </c>
      <c r="E93" s="10">
        <f t="shared" si="19"/>
        <v>0.24784935190463497</v>
      </c>
      <c r="F93" s="10">
        <f t="shared" si="20"/>
        <v>0.19478939912451348</v>
      </c>
      <c r="G93" s="2">
        <f t="shared" si="22"/>
        <v>0.31557159598196255</v>
      </c>
      <c r="H93" s="2">
        <f t="shared" si="23"/>
        <v>0.85559023307423632</v>
      </c>
      <c r="I93" s="7">
        <f t="shared" si="24"/>
        <v>0.26999997535781606</v>
      </c>
      <c r="J93" s="1"/>
    </row>
    <row r="94" spans="1:10" x14ac:dyDescent="0.25">
      <c r="A94" s="7">
        <v>0.28000000000000003</v>
      </c>
      <c r="B94" s="2">
        <v>0.36002904172694461</v>
      </c>
      <c r="C94" s="11">
        <f t="shared" si="21"/>
        <v>0.9600169391008111</v>
      </c>
      <c r="D94" s="11">
        <f t="shared" si="18"/>
        <v>1.2870627206505665</v>
      </c>
      <c r="E94" s="10">
        <f t="shared" si="19"/>
        <v>0.25457843470048863</v>
      </c>
      <c r="F94" s="10">
        <f t="shared" si="20"/>
        <v>0.19779800208323017</v>
      </c>
      <c r="G94" s="2">
        <f t="shared" si="22"/>
        <v>0.32413933029744052</v>
      </c>
      <c r="H94" s="2">
        <f t="shared" si="23"/>
        <v>0.86382582266809127</v>
      </c>
      <c r="I94" s="7">
        <f t="shared" si="24"/>
        <v>0.2799999236532707</v>
      </c>
      <c r="J94" s="1"/>
    </row>
    <row r="95" spans="1:10" x14ac:dyDescent="0.25">
      <c r="A95" s="7">
        <v>0.28999999999999998</v>
      </c>
      <c r="B95" s="2">
        <v>0.36696744264694264</v>
      </c>
      <c r="C95" s="11">
        <f t="shared" si="21"/>
        <v>0.96395505846300844</v>
      </c>
      <c r="D95" s="11">
        <f t="shared" si="18"/>
        <v>1.3014876304052578</v>
      </c>
      <c r="E95" s="10">
        <f t="shared" si="19"/>
        <v>0.26125320430093951</v>
      </c>
      <c r="F95" s="10">
        <f t="shared" si="20"/>
        <v>0.20073429681355509</v>
      </c>
      <c r="G95" s="2">
        <f t="shared" si="22"/>
        <v>0.33263791090473066</v>
      </c>
      <c r="H95" s="2">
        <f t="shared" si="23"/>
        <v>0.87181830362886192</v>
      </c>
      <c r="I95" s="7">
        <f t="shared" si="24"/>
        <v>0.28999981920761081</v>
      </c>
      <c r="J95" s="1"/>
    </row>
    <row r="96" spans="1:10" x14ac:dyDescent="0.25">
      <c r="A96" s="7">
        <v>0.3</v>
      </c>
      <c r="B96" s="2">
        <v>0.37382550311177382</v>
      </c>
      <c r="C96" s="11">
        <f t="shared" si="21"/>
        <v>0.96763628773419408</v>
      </c>
      <c r="D96" s="11">
        <f t="shared" si="18"/>
        <v>1.3156892786222389</v>
      </c>
      <c r="E96" s="10">
        <f t="shared" si="19"/>
        <v>0.26787680876773334</v>
      </c>
      <c r="F96" s="10">
        <f t="shared" si="20"/>
        <v>0.20360187858963788</v>
      </c>
      <c r="G96" s="2">
        <f>SUM(E96/0.25)/PI()</f>
        <v>0.34107134604053707</v>
      </c>
      <c r="H96" s="2">
        <f>SUM((F96)/(0.25))^0.625</f>
        <v>0.87958154295236568</v>
      </c>
      <c r="I96" s="7">
        <f>SUM((F96/0.25)^0.625)*G96</f>
        <v>0.30000006080717584</v>
      </c>
      <c r="J96" s="1"/>
    </row>
    <row r="97" spans="1:10" x14ac:dyDescent="0.25">
      <c r="A97" s="7">
        <v>0.31</v>
      </c>
      <c r="B97" s="2">
        <v>0.38060788649199734</v>
      </c>
      <c r="C97" s="11">
        <f t="shared" si="21"/>
        <v>0.97107265069528592</v>
      </c>
      <c r="D97" s="11">
        <f t="shared" si="18"/>
        <v>1.3296826585901858</v>
      </c>
      <c r="E97" s="10">
        <f t="shared" si="19"/>
        <v>0.27445145657938214</v>
      </c>
      <c r="F97" s="10">
        <f t="shared" si="20"/>
        <v>0.20640372708956967</v>
      </c>
      <c r="G97" s="2">
        <f t="shared" ref="G97:G105" si="25">SUM(E97/0.25)/PI()</f>
        <v>0.3494424476270348</v>
      </c>
      <c r="H97" s="2">
        <f t="shared" ref="H97:H105" si="26">SUM((F97)/(0.25))^0.625</f>
        <v>0.88712732017080398</v>
      </c>
      <c r="I97" s="7">
        <f t="shared" ref="I97:I105" si="27">SUM((F97/0.25)^0.625)*G97</f>
        <v>0.30999994211729792</v>
      </c>
      <c r="J97" s="1"/>
    </row>
    <row r="98" spans="1:10" x14ac:dyDescent="0.25">
      <c r="A98" s="7">
        <v>0.32</v>
      </c>
      <c r="B98" s="2">
        <v>0.38731895305256037</v>
      </c>
      <c r="C98" s="11">
        <f t="shared" si="21"/>
        <v>0.9742750774988117</v>
      </c>
      <c r="D98" s="11">
        <f t="shared" si="18"/>
        <v>1.3434816518989385</v>
      </c>
      <c r="E98" s="10">
        <f t="shared" si="19"/>
        <v>0.28097924510105265</v>
      </c>
      <c r="F98" s="10">
        <f t="shared" si="20"/>
        <v>0.20914259953152595</v>
      </c>
      <c r="G98" s="2">
        <f t="shared" si="25"/>
        <v>0.35775388611249398</v>
      </c>
      <c r="H98" s="2">
        <f t="shared" si="26"/>
        <v>0.89446645548589054</v>
      </c>
      <c r="I98" s="7">
        <f t="shared" si="27"/>
        <v>0.31999885044734544</v>
      </c>
      <c r="J98" s="1"/>
    </row>
    <row r="99" spans="1:10" x14ac:dyDescent="0.25">
      <c r="A99" s="7">
        <v>0.33</v>
      </c>
      <c r="B99" s="2">
        <v>0.39396215291913672</v>
      </c>
      <c r="C99" s="11">
        <f t="shared" si="21"/>
        <v>0.97725324248416889</v>
      </c>
      <c r="D99" s="11">
        <f t="shared" si="18"/>
        <v>1.3570978462639061</v>
      </c>
      <c r="E99" s="10">
        <f t="shared" si="19"/>
        <v>0.28746154662306944</v>
      </c>
      <c r="F99" s="10">
        <f t="shared" si="20"/>
        <v>0.21182079642558702</v>
      </c>
      <c r="G99" s="2">
        <f t="shared" si="25"/>
        <v>0.36600740875122267</v>
      </c>
      <c r="H99" s="2">
        <f t="shared" si="26"/>
        <v>0.90160823022192127</v>
      </c>
      <c r="I99" s="7">
        <f t="shared" si="27"/>
        <v>0.32999529205230121</v>
      </c>
      <c r="J99" s="1"/>
    </row>
    <row r="100" spans="1:10" x14ac:dyDescent="0.25">
      <c r="A100" s="7">
        <v>0.34</v>
      </c>
      <c r="B100" s="2">
        <v>0.40054867609029932</v>
      </c>
      <c r="C100" s="11">
        <f t="shared" si="21"/>
        <v>0.98001925322435945</v>
      </c>
      <c r="D100" s="11">
        <f t="shared" si="18"/>
        <v>1.3705582586250844</v>
      </c>
      <c r="E100" s="10">
        <f t="shared" si="19"/>
        <v>0.29390745856119171</v>
      </c>
      <c r="F100" s="10">
        <f t="shared" si="20"/>
        <v>0.21444360844320007</v>
      </c>
      <c r="G100" s="2">
        <f t="shared" si="25"/>
        <v>0.37421459873272045</v>
      </c>
      <c r="H100" s="2">
        <f t="shared" si="26"/>
        <v>0.90856956768657871</v>
      </c>
      <c r="I100" s="7">
        <f t="shared" si="27"/>
        <v>0.33999999619259436</v>
      </c>
      <c r="J100" s="1"/>
    </row>
    <row r="101" spans="1:10" x14ac:dyDescent="0.25">
      <c r="A101" s="7">
        <v>0.35</v>
      </c>
      <c r="B101" s="16">
        <v>0.40707379283084577</v>
      </c>
      <c r="C101" s="17">
        <f t="shared" si="21"/>
        <v>0.98257767127317808</v>
      </c>
      <c r="D101" s="17">
        <f t="shared" si="18"/>
        <v>1.3838570068117615</v>
      </c>
      <c r="E101" s="18">
        <f t="shared" si="19"/>
        <v>0.30031064358268211</v>
      </c>
      <c r="F101" s="18">
        <f t="shared" si="20"/>
        <v>0.21700988043162159</v>
      </c>
      <c r="G101" s="16">
        <f t="shared" si="25"/>
        <v>0.38236738711433788</v>
      </c>
      <c r="H101" s="16">
        <f t="shared" si="26"/>
        <v>0.91535000210576478</v>
      </c>
      <c r="I101" s="19">
        <f t="shared" si="27"/>
        <v>0.34999998860028497</v>
      </c>
      <c r="J101" s="1"/>
    </row>
    <row r="102" spans="1:10" x14ac:dyDescent="0.25">
      <c r="A102" s="7">
        <v>0.36</v>
      </c>
      <c r="B102" s="16">
        <v>0.41354421550683529</v>
      </c>
      <c r="C102" s="17">
        <f t="shared" si="21"/>
        <v>0.98493735298783636</v>
      </c>
      <c r="D102" s="17">
        <f t="shared" si="18"/>
        <v>1.3970113244043787</v>
      </c>
      <c r="E102" s="18">
        <f t="shared" si="19"/>
        <v>0.30667606533650243</v>
      </c>
      <c r="F102" s="18">
        <f t="shared" si="20"/>
        <v>0.21952296304201757</v>
      </c>
      <c r="G102" s="16">
        <f t="shared" si="25"/>
        <v>0.39047209381021936</v>
      </c>
      <c r="H102" s="16">
        <f t="shared" si="26"/>
        <v>0.92196082337410745</v>
      </c>
      <c r="I102" s="19">
        <f t="shared" si="27"/>
        <v>0.35999997311388154</v>
      </c>
      <c r="J102" s="1"/>
    </row>
    <row r="103" spans="1:10" x14ac:dyDescent="0.25">
      <c r="A103" s="7">
        <v>0.37</v>
      </c>
      <c r="B103" s="16">
        <v>0.41996293498261394</v>
      </c>
      <c r="C103" s="17">
        <f t="shared" si="21"/>
        <v>0.98710499588119338</v>
      </c>
      <c r="D103" s="17">
        <f t="shared" si="18"/>
        <v>1.4100305758708698</v>
      </c>
      <c r="E103" s="18">
        <f t="shared" si="19"/>
        <v>0.31300515060055262</v>
      </c>
      <c r="F103" s="18">
        <f t="shared" si="20"/>
        <v>0.22198465477050588</v>
      </c>
      <c r="G103" s="16">
        <f t="shared" si="25"/>
        <v>0.39853053545040867</v>
      </c>
      <c r="H103" s="16">
        <f t="shared" si="26"/>
        <v>0.92840899757216777</v>
      </c>
      <c r="I103" s="19">
        <f t="shared" si="27"/>
        <v>0.36999933491941317</v>
      </c>
      <c r="J103" s="1"/>
    </row>
    <row r="104" spans="1:10" x14ac:dyDescent="0.25">
      <c r="A104" s="7">
        <v>0.38</v>
      </c>
      <c r="B104" s="16">
        <v>0.42633196137136325</v>
      </c>
      <c r="C104" s="17">
        <f t="shared" si="21"/>
        <v>0.98908648779489383</v>
      </c>
      <c r="D104" s="17">
        <f t="shared" si="18"/>
        <v>1.4229219140579041</v>
      </c>
      <c r="E104" s="18">
        <f t="shared" si="19"/>
        <v>0.31929844771950761</v>
      </c>
      <c r="F104" s="18">
        <f t="shared" si="20"/>
        <v>0.22439632460851547</v>
      </c>
      <c r="G104" s="16">
        <f t="shared" si="25"/>
        <v>0.40654341020903001</v>
      </c>
      <c r="H104" s="16">
        <f t="shared" si="26"/>
        <v>0.93470019148031869</v>
      </c>
      <c r="I104" s="19">
        <f t="shared" si="27"/>
        <v>0.37999620336744211</v>
      </c>
      <c r="J104" s="1"/>
    </row>
    <row r="105" spans="1:10" x14ac:dyDescent="0.25">
      <c r="A105" s="7">
        <v>0.39</v>
      </c>
      <c r="B105" s="16">
        <v>0.43265398671973282</v>
      </c>
      <c r="C105" s="17">
        <f t="shared" si="21"/>
        <v>0.99088751025583943</v>
      </c>
      <c r="D105" s="17">
        <f t="shared" si="18"/>
        <v>1.4356936765518749</v>
      </c>
      <c r="E105" s="18">
        <f t="shared" si="19"/>
        <v>0.3255572574254984</v>
      </c>
      <c r="F105" s="18">
        <f t="shared" si="20"/>
        <v>0.226759553756198</v>
      </c>
      <c r="G105" s="16">
        <f t="shared" si="25"/>
        <v>0.41451237422966974</v>
      </c>
      <c r="H105" s="16">
        <f t="shared" si="26"/>
        <v>0.94084047092302725</v>
      </c>
      <c r="I105" s="19">
        <f t="shared" si="27"/>
        <v>0.38999001737366457</v>
      </c>
      <c r="J105" s="1"/>
    </row>
    <row r="106" spans="1:10" x14ac:dyDescent="0.25">
      <c r="A106" s="7">
        <v>0.4</v>
      </c>
      <c r="B106" s="16">
        <v>0.43894407288509629</v>
      </c>
      <c r="C106" s="17">
        <f t="shared" si="21"/>
        <v>0.99251634498206542</v>
      </c>
      <c r="D106" s="17">
        <f t="shared" si="18"/>
        <v>1.4483789434491223</v>
      </c>
      <c r="E106" s="18">
        <f t="shared" si="19"/>
        <v>0.33179523305249276</v>
      </c>
      <c r="F106" s="18">
        <f t="shared" si="20"/>
        <v>0.22908040368383595</v>
      </c>
      <c r="G106" s="16">
        <f>SUM(E106/0.25)/PI()</f>
        <v>0.4224548114770531</v>
      </c>
      <c r="H106" s="16">
        <f>SUM((F106)/(0.25))^0.625</f>
        <v>0.94684732580047393</v>
      </c>
      <c r="I106" s="19">
        <f>SUM((F106/0.25)^0.625)*G106</f>
        <v>0.40000020851859108</v>
      </c>
      <c r="J106" s="1"/>
    </row>
    <row r="107" spans="1:10" x14ac:dyDescent="0.25">
      <c r="A107" s="7">
        <v>0.41</v>
      </c>
      <c r="B107" s="16">
        <v>0.44519373362108877</v>
      </c>
      <c r="C107" s="17">
        <f t="shared" si="21"/>
        <v>0.99397439235747687</v>
      </c>
      <c r="D107" s="17">
        <f t="shared" si="18"/>
        <v>1.4609631013172213</v>
      </c>
      <c r="E107" s="18">
        <f t="shared" si="19"/>
        <v>0.33800276266862517</v>
      </c>
      <c r="F107" s="18">
        <f t="shared" si="20"/>
        <v>0.2313561255338194</v>
      </c>
      <c r="G107" s="16">
        <f t="shared" ref="G107:G114" si="28">SUM(E107/0.25)/PI()</f>
        <v>0.43035848365942758</v>
      </c>
      <c r="H107" s="16">
        <f t="shared" ref="H107:H114" si="29">SUM((F107)/(0.25))^0.625</f>
        <v>0.95271525934930867</v>
      </c>
      <c r="I107" s="19">
        <f t="shared" ref="I107:I114" si="30">SUM((F107/0.25)^0.625)*G107</f>
        <v>0.41000909437276678</v>
      </c>
      <c r="J107" s="1"/>
    </row>
    <row r="108" spans="1:10" x14ac:dyDescent="0.25">
      <c r="A108" s="7">
        <v>0.42</v>
      </c>
      <c r="B108" s="16">
        <v>0.45139507651104738</v>
      </c>
      <c r="C108" s="17">
        <f t="shared" si="21"/>
        <v>0.99526390753936833</v>
      </c>
      <c r="D108" s="17">
        <f t="shared" si="18"/>
        <v>1.4734327235548532</v>
      </c>
      <c r="E108" s="18">
        <f t="shared" si="19"/>
        <v>0.3441708178500798</v>
      </c>
      <c r="F108" s="18">
        <f t="shared" si="20"/>
        <v>0.23358434514724347</v>
      </c>
      <c r="G108" s="16">
        <f t="shared" si="28"/>
        <v>0.43821189543056421</v>
      </c>
      <c r="H108" s="16">
        <f t="shared" si="29"/>
        <v>0.95843977310919648</v>
      </c>
      <c r="I108" s="19">
        <f t="shared" si="30"/>
        <v>0.41999970963022087</v>
      </c>
      <c r="J108" s="1"/>
    </row>
    <row r="109" spans="1:10" x14ac:dyDescent="0.25">
      <c r="A109" s="7">
        <v>0.43</v>
      </c>
      <c r="B109" s="16">
        <v>0.4575671728507717</v>
      </c>
      <c r="C109" s="17">
        <f t="shared" si="21"/>
        <v>0.99639240298212572</v>
      </c>
      <c r="D109" s="17">
        <f t="shared" si="18"/>
        <v>1.4858284713071526</v>
      </c>
      <c r="E109" s="18">
        <f t="shared" si="19"/>
        <v>0.35031724452251578</v>
      </c>
      <c r="F109" s="18">
        <f t="shared" si="20"/>
        <v>0.23577233259928407</v>
      </c>
      <c r="G109" s="16">
        <f t="shared" si="28"/>
        <v>0.44603776892872465</v>
      </c>
      <c r="H109" s="16">
        <f t="shared" si="29"/>
        <v>0.96404103363380966</v>
      </c>
      <c r="I109" s="19">
        <f t="shared" si="30"/>
        <v>0.42999871179776605</v>
      </c>
      <c r="J109" s="1"/>
    </row>
    <row r="110" spans="1:10" x14ac:dyDescent="0.25">
      <c r="A110" s="7">
        <v>0.44</v>
      </c>
      <c r="B110" s="16">
        <v>0.46370652795152728</v>
      </c>
      <c r="C110" s="17">
        <f t="shared" si="21"/>
        <v>0.99736208848475227</v>
      </c>
      <c r="D110" s="17">
        <f t="shared" si="18"/>
        <v>1.4981454892962465</v>
      </c>
      <c r="E110" s="18">
        <f t="shared" si="19"/>
        <v>0.35643750578374778</v>
      </c>
      <c r="F110" s="18">
        <f t="shared" si="20"/>
        <v>0.23791915293299332</v>
      </c>
      <c r="G110" s="16">
        <f t="shared" si="28"/>
        <v>0.45383032759063596</v>
      </c>
      <c r="H110" s="16">
        <f t="shared" si="29"/>
        <v>0.96951799131206617</v>
      </c>
      <c r="I110" s="19">
        <f t="shared" si="30"/>
        <v>0.43999666760217032</v>
      </c>
      <c r="J110" s="1"/>
    </row>
    <row r="111" spans="1:10" x14ac:dyDescent="0.25">
      <c r="A111" s="7">
        <v>0.45</v>
      </c>
      <c r="B111" s="16">
        <v>0.46981528551094531</v>
      </c>
      <c r="C111" s="17">
        <f t="shared" si="21"/>
        <v>0.99817610272178781</v>
      </c>
      <c r="D111" s="17">
        <f t="shared" si="18"/>
        <v>1.5103901684734375</v>
      </c>
      <c r="E111" s="18">
        <f t="shared" si="19"/>
        <v>0.36253271178313212</v>
      </c>
      <c r="F111" s="18">
        <f t="shared" si="20"/>
        <v>0.24002586838177489</v>
      </c>
      <c r="G111" s="16">
        <f t="shared" si="28"/>
        <v>0.46159098490235911</v>
      </c>
      <c r="H111" s="16">
        <f t="shared" si="29"/>
        <v>0.97487464583150418</v>
      </c>
      <c r="I111" s="19">
        <f t="shared" si="30"/>
        <v>0.44999334792570256</v>
      </c>
      <c r="J111" s="1"/>
    </row>
    <row r="112" spans="1:10" x14ac:dyDescent="0.25">
      <c r="A112" s="7">
        <v>0.46</v>
      </c>
      <c r="B112" s="16">
        <v>0.47590247191081098</v>
      </c>
      <c r="C112" s="17">
        <f t="shared" si="21"/>
        <v>0.99883794309185259</v>
      </c>
      <c r="D112" s="17">
        <f t="shared" si="18"/>
        <v>1.5225825934686761</v>
      </c>
      <c r="E112" s="18">
        <f t="shared" si="19"/>
        <v>0.36861088567206718</v>
      </c>
      <c r="F112" s="18">
        <f t="shared" si="20"/>
        <v>0.24209582275094527</v>
      </c>
      <c r="G112" s="16">
        <f t="shared" si="28"/>
        <v>0.46932995625752794</v>
      </c>
      <c r="H112" s="16">
        <f t="shared" si="29"/>
        <v>0.98012068426962895</v>
      </c>
      <c r="I112" s="19">
        <f t="shared" si="30"/>
        <v>0.45999999787536333</v>
      </c>
      <c r="J112" s="1"/>
    </row>
    <row r="113" spans="1:10" x14ac:dyDescent="0.25">
      <c r="A113" s="7">
        <v>0.47</v>
      </c>
      <c r="B113" s="16">
        <v>0.48196008043512056</v>
      </c>
      <c r="C113" s="17">
        <f t="shared" si="21"/>
        <v>0.99934891064551157</v>
      </c>
      <c r="D113" s="17">
        <f t="shared" si="18"/>
        <v>1.5347086552255287</v>
      </c>
      <c r="E113" s="18">
        <f t="shared" si="19"/>
        <v>0.37466307682373473</v>
      </c>
      <c r="F113" s="18">
        <f t="shared" si="20"/>
        <v>0.244126515836113</v>
      </c>
      <c r="G113" s="16">
        <f t="shared" si="28"/>
        <v>0.4770358453641273</v>
      </c>
      <c r="H113" s="16">
        <f t="shared" si="29"/>
        <v>0.98525089979762737</v>
      </c>
      <c r="I113" s="19">
        <f t="shared" si="30"/>
        <v>0.46999999588072827</v>
      </c>
      <c r="J113" s="1"/>
    </row>
    <row r="114" spans="1:10" x14ac:dyDescent="0.25">
      <c r="A114" s="7">
        <v>0.48</v>
      </c>
      <c r="B114" s="16">
        <v>0.48799421828933193</v>
      </c>
      <c r="C114" s="17">
        <f t="shared" si="21"/>
        <v>0.99971168084706463</v>
      </c>
      <c r="D114" s="17">
        <f t="shared" si="18"/>
        <v>1.5467824554428493</v>
      </c>
      <c r="E114" s="18">
        <f t="shared" si="19"/>
        <v>0.38069445375378486</v>
      </c>
      <c r="F114" s="18">
        <f t="shared" si="20"/>
        <v>0.24612023003893632</v>
      </c>
      <c r="G114" s="16">
        <f t="shared" si="28"/>
        <v>0.48471523298067049</v>
      </c>
      <c r="H114" s="16">
        <f t="shared" si="29"/>
        <v>0.99027214882253645</v>
      </c>
      <c r="I114" s="19">
        <f t="shared" si="30"/>
        <v>0.47999999533078497</v>
      </c>
      <c r="J114" s="1"/>
    </row>
    <row r="115" spans="1:10" x14ac:dyDescent="0.25">
      <c r="A115" s="7">
        <v>0.49</v>
      </c>
      <c r="B115" s="2">
        <v>0.49400664938338079</v>
      </c>
      <c r="C115" s="11">
        <f t="shared" si="21"/>
        <v>0.99992815691605819</v>
      </c>
      <c r="D115" s="11">
        <f t="shared" si="18"/>
        <v>1.5588093384995478</v>
      </c>
      <c r="E115" s="10">
        <f t="shared" si="19"/>
        <v>0.38670587460697309</v>
      </c>
      <c r="F115" s="10">
        <f t="shared" si="20"/>
        <v>0.2480777251303882</v>
      </c>
      <c r="G115" s="2">
        <f>SUM(E115/0.25)/PI()</f>
        <v>0.49236921173099535</v>
      </c>
      <c r="H115" s="2">
        <f>SUM((F115)/(0.25))^0.625</f>
        <v>0.99518735990832774</v>
      </c>
      <c r="I115" s="7">
        <f>SUM((F115/0.25)^0.625)*G115</f>
        <v>0.48999961592271368</v>
      </c>
      <c r="J115" s="1"/>
    </row>
    <row r="116" spans="1:10" ht="15.75" thickBot="1" x14ac:dyDescent="0.3">
      <c r="A116" s="8">
        <v>0.5</v>
      </c>
      <c r="B116" s="9">
        <v>0.5000013698980591</v>
      </c>
      <c r="C116" s="14">
        <f t="shared" si="21"/>
        <v>0.99999999999624678</v>
      </c>
      <c r="D116" s="14">
        <f t="shared" si="18"/>
        <v>1.5707935870065992</v>
      </c>
      <c r="E116" s="15">
        <f t="shared" si="19"/>
        <v>0.39269908170067935</v>
      </c>
      <c r="F116" s="15">
        <f t="shared" si="20"/>
        <v>0.25000043605285582</v>
      </c>
      <c r="G116" s="9">
        <f>SUM(E116/0.25)/PI()</f>
        <v>0.50000000000248945</v>
      </c>
      <c r="H116" s="9">
        <f>SUM((F116)/(0.25))^0.625</f>
        <v>1.0000010901317831</v>
      </c>
      <c r="I116" s="8">
        <f>SUM((F116/0.25)^0.625)*G116</f>
        <v>0.50000054506838099</v>
      </c>
      <c r="J116" s="1"/>
    </row>
    <row r="117" spans="1:10" x14ac:dyDescent="0.25">
      <c r="A117" s="6">
        <v>0.51</v>
      </c>
      <c r="B117" s="3">
        <v>0.50597557565100892</v>
      </c>
      <c r="C117" s="12">
        <f t="shared" si="21"/>
        <v>0.99992858244104421</v>
      </c>
      <c r="D117" s="12">
        <f>(D$116-ASIN(((C117))))+D$116</f>
        <v>1.5827422830358036</v>
      </c>
      <c r="E117" s="13">
        <f t="shared" si="19"/>
        <v>0.39867314520394215</v>
      </c>
      <c r="F117" s="13">
        <f t="shared" si="20"/>
        <v>0.25188759375232012</v>
      </c>
      <c r="G117" s="3">
        <f>SUM(E117/0.25)/PI()</f>
        <v>0.50760641389760275</v>
      </c>
      <c r="H117" s="3">
        <f>SUM((F117)/(0.25))^0.625</f>
        <v>1.0047123267525671</v>
      </c>
      <c r="I117" s="6">
        <f>SUM((F117/0.25)^0.625)*G117</f>
        <v>0.509998421181587</v>
      </c>
      <c r="J117" s="1"/>
    </row>
    <row r="118" spans="1:10" x14ac:dyDescent="0.25">
      <c r="A118" s="7">
        <v>0.52</v>
      </c>
      <c r="B118" s="2">
        <v>0.51193731516174235</v>
      </c>
      <c r="C118" s="11">
        <f t="shared" si="21"/>
        <v>0.99971496038966867</v>
      </c>
      <c r="D118" s="12">
        <f t="shared" ref="D118:D181" si="31">(D$116-ASIN(((C118))))+D$116</f>
        <v>1.5946677462055634</v>
      </c>
      <c r="E118" s="10">
        <f t="shared" si="19"/>
        <v>0.40463389282843099</v>
      </c>
      <c r="F118" s="10">
        <f t="shared" si="20"/>
        <v>0.25374181787475053</v>
      </c>
      <c r="G118" s="2">
        <f>SUM(E118/0.25)/PI()</f>
        <v>0.51519587348928808</v>
      </c>
      <c r="H118" s="2">
        <f>SUM((F118)/(0.25))^0.625</f>
        <v>1.0093284709409835</v>
      </c>
      <c r="I118" s="7">
        <f>SUM((F118/0.25)^0.625)*G118</f>
        <v>0.52000186322404751</v>
      </c>
      <c r="J118" s="1"/>
    </row>
    <row r="119" spans="1:10" x14ac:dyDescent="0.25">
      <c r="A119" s="7">
        <v>0.53</v>
      </c>
      <c r="B119" s="2">
        <v>0.51788282508219674</v>
      </c>
      <c r="C119" s="11">
        <f t="shared" si="21"/>
        <v>0.99936020446499585</v>
      </c>
      <c r="D119" s="12">
        <f t="shared" si="31"/>
        <v>1.6065641269030235</v>
      </c>
      <c r="E119" s="10">
        <f t="shared" si="19"/>
        <v>0.41057672359103381</v>
      </c>
      <c r="F119" s="10">
        <f t="shared" si="20"/>
        <v>0.25556198891512866</v>
      </c>
      <c r="G119" s="2">
        <f t="shared" ref="G119:G125" si="32">SUM(E119/0.25)/PI()</f>
        <v>0.5227625206239026</v>
      </c>
      <c r="H119" s="2">
        <f t="shared" ref="H119:H125" si="33">SUM((F119)/(0.25))^0.625</f>
        <v>1.0138475515842904</v>
      </c>
      <c r="I119" s="7">
        <f t="shared" ref="I119:I125" si="34">SUM((F119/0.25)^0.625)*G119</f>
        <v>0.53000150159457582</v>
      </c>
      <c r="J119" s="1"/>
    </row>
    <row r="120" spans="1:10" x14ac:dyDescent="0.25">
      <c r="A120" s="7">
        <v>0.54</v>
      </c>
      <c r="B120" s="2">
        <v>0.5238154821839075</v>
      </c>
      <c r="C120" s="11">
        <f t="shared" si="21"/>
        <v>0.99886500150590518</v>
      </c>
      <c r="D120" s="12">
        <f t="shared" si="31"/>
        <v>1.6184398401289395</v>
      </c>
      <c r="E120" s="10">
        <f t="shared" si="19"/>
        <v>0.4165041858559812</v>
      </c>
      <c r="F120" s="10">
        <f t="shared" si="20"/>
        <v>0.25734919243139659</v>
      </c>
      <c r="G120" s="2">
        <f t="shared" si="32"/>
        <v>0.53030959997955907</v>
      </c>
      <c r="H120" s="2">
        <f t="shared" si="33"/>
        <v>1.0182730522576389</v>
      </c>
      <c r="I120" s="7">
        <f t="shared" si="34"/>
        <v>0.53999997501271313</v>
      </c>
      <c r="J120" s="1"/>
    </row>
    <row r="121" spans="1:10" x14ac:dyDescent="0.25">
      <c r="A121" s="7">
        <v>0.55000000000000004</v>
      </c>
      <c r="B121" s="2">
        <v>0.52973860735430878</v>
      </c>
      <c r="C121" s="11">
        <f t="shared" si="21"/>
        <v>0.9982296634194483</v>
      </c>
      <c r="D121" s="12">
        <f t="shared" si="31"/>
        <v>1.6303031850296992</v>
      </c>
      <c r="E121" s="10">
        <f t="shared" si="19"/>
        <v>0.42241877626235219</v>
      </c>
      <c r="F121" s="10">
        <f t="shared" si="20"/>
        <v>0.25910442925047528</v>
      </c>
      <c r="G121" s="2">
        <f t="shared" si="32"/>
        <v>0.5378402903758619</v>
      </c>
      <c r="H121" s="2">
        <f t="shared" si="33"/>
        <v>1.0226081926250452</v>
      </c>
      <c r="I121" s="7">
        <f t="shared" si="34"/>
        <v>0.54999988726218962</v>
      </c>
      <c r="J121" s="1"/>
    </row>
    <row r="122" spans="1:10" x14ac:dyDescent="0.25">
      <c r="A122" s="7">
        <v>0.56000000000000005</v>
      </c>
      <c r="B122" s="2">
        <v>0.53565306506434207</v>
      </c>
      <c r="C122" s="11">
        <f t="shared" si="21"/>
        <v>0.99745447806206733</v>
      </c>
      <c r="D122" s="12">
        <f t="shared" si="31"/>
        <v>1.642157542792593</v>
      </c>
      <c r="E122" s="10">
        <f t="shared" si="19"/>
        <v>0.42832054040068135</v>
      </c>
      <c r="F122" s="10">
        <f t="shared" si="20"/>
        <v>0.2608279225586938</v>
      </c>
      <c r="G122" s="2">
        <f t="shared" si="32"/>
        <v>0.54535464986048243</v>
      </c>
      <c r="H122" s="2">
        <f t="shared" si="33"/>
        <v>1.0268542289611289</v>
      </c>
      <c r="I122" s="7">
        <f t="shared" si="34"/>
        <v>0.55999972849285207</v>
      </c>
      <c r="J122" s="1"/>
    </row>
    <row r="123" spans="1:10" x14ac:dyDescent="0.25">
      <c r="A123" s="7">
        <v>0.56999999999999995</v>
      </c>
      <c r="B123" s="2">
        <v>0.5415606161446862</v>
      </c>
      <c r="C123" s="11">
        <f t="shared" si="21"/>
        <v>0.99653944264273664</v>
      </c>
      <c r="D123" s="12">
        <f t="shared" si="31"/>
        <v>1.6540080943574331</v>
      </c>
      <c r="E123" s="10">
        <f t="shared" si="19"/>
        <v>0.43421042021371542</v>
      </c>
      <c r="F123" s="10">
        <f t="shared" si="20"/>
        <v>0.26252013015837278</v>
      </c>
      <c r="G123" s="2">
        <f t="shared" si="32"/>
        <v>0.55285387775217476</v>
      </c>
      <c r="H123" s="2">
        <f t="shared" si="33"/>
        <v>1.0310129645785777</v>
      </c>
      <c r="I123" s="7">
        <f t="shared" si="34"/>
        <v>0.56999951548003225</v>
      </c>
      <c r="J123" s="1"/>
    </row>
    <row r="124" spans="1:10" x14ac:dyDescent="0.25">
      <c r="A124" s="7">
        <v>0.57999999999999996</v>
      </c>
      <c r="B124" s="2">
        <v>0.54746302780569966</v>
      </c>
      <c r="C124" s="11">
        <f t="shared" si="21"/>
        <v>0.99548432632867789</v>
      </c>
      <c r="D124" s="12">
        <f t="shared" si="31"/>
        <v>1.6658600464490643</v>
      </c>
      <c r="E124" s="10">
        <f t="shared" si="19"/>
        <v>0.44008936174260416</v>
      </c>
      <c r="F124" s="10">
        <f t="shared" si="20"/>
        <v>0.26418147351615495</v>
      </c>
      <c r="G124" s="2">
        <f t="shared" si="32"/>
        <v>0.56033917858794169</v>
      </c>
      <c r="H124" s="2">
        <f t="shared" si="33"/>
        <v>1.0350860806920614</v>
      </c>
      <c r="I124" s="7">
        <f t="shared" si="34"/>
        <v>0.57999928422280167</v>
      </c>
      <c r="J124" s="1"/>
    </row>
    <row r="125" spans="1:10" x14ac:dyDescent="0.25">
      <c r="A125" s="7">
        <v>0.59</v>
      </c>
      <c r="B125" s="2">
        <v>0.55336207567928763</v>
      </c>
      <c r="C125" s="11">
        <f t="shared" si="21"/>
        <v>0.9942886681023736</v>
      </c>
      <c r="D125" s="12">
        <f t="shared" si="31"/>
        <v>1.6777186429016744</v>
      </c>
      <c r="E125" s="10">
        <f t="shared" si="19"/>
        <v>0.44595831430258709</v>
      </c>
      <c r="F125" s="10">
        <f t="shared" si="20"/>
        <v>0.26581233759868472</v>
      </c>
      <c r="G125" s="2">
        <f t="shared" si="32"/>
        <v>0.56781176107348663</v>
      </c>
      <c r="H125" s="2">
        <f t="shared" si="33"/>
        <v>1.0390751385227066</v>
      </c>
      <c r="I125" s="7">
        <f t="shared" si="34"/>
        <v>0.58999908429225512</v>
      </c>
      <c r="J125" s="1"/>
    </row>
    <row r="126" spans="1:10" x14ac:dyDescent="0.25">
      <c r="A126" s="7">
        <v>0.6</v>
      </c>
      <c r="B126" s="2">
        <v>0.55925939737820107</v>
      </c>
      <c r="C126" s="10">
        <f t="shared" si="21"/>
        <v>0.99295180914759895</v>
      </c>
      <c r="D126" s="12">
        <f t="shared" si="31"/>
        <v>1.6895888770694443</v>
      </c>
      <c r="E126" s="10">
        <f t="shared" si="19"/>
        <v>0.4518180821852017</v>
      </c>
      <c r="F126" s="10">
        <f t="shared" si="20"/>
        <v>0.26741303065919236</v>
      </c>
      <c r="G126" s="2">
        <f>SUM(E126/0.25)/PI()</f>
        <v>0.57527264926460053</v>
      </c>
      <c r="H126" s="2">
        <f>SUM((F126)/(0.25))^0.625</f>
        <v>1.0429814836225837</v>
      </c>
      <c r="I126" s="7">
        <f>SUM((F126/0.25)^0.625)*G126</f>
        <v>0.59999872121748732</v>
      </c>
      <c r="J126" s="1"/>
    </row>
    <row r="127" spans="1:10" x14ac:dyDescent="0.25">
      <c r="A127" s="7">
        <v>0.61</v>
      </c>
      <c r="B127" s="2">
        <v>0.56515778791441273</v>
      </c>
      <c r="C127" s="10">
        <f t="shared" si="21"/>
        <v>0.99147256678962203</v>
      </c>
      <c r="D127" s="12">
        <f t="shared" si="31"/>
        <v>1.7014781102950471</v>
      </c>
      <c r="E127" s="10">
        <f t="shared" si="19"/>
        <v>0.45767060718868008</v>
      </c>
      <c r="F127" s="10">
        <f t="shared" si="20"/>
        <v>0.26898412881098838</v>
      </c>
      <c r="G127" s="2">
        <f t="shared" ref="G127:G128" si="35">SUM(E127/0.25)/PI()</f>
        <v>0.58272431553558057</v>
      </c>
      <c r="H127" s="2">
        <f t="shared" ref="H127:H128" si="36">SUM((F127)/(0.25))^0.625</f>
        <v>1.0468070872644304</v>
      </c>
      <c r="I127" s="7">
        <f t="shared" ref="I127:I128" si="37">SUM((F127/0.25)^0.625)*G127</f>
        <v>0.60999994342395991</v>
      </c>
      <c r="J127" s="1"/>
    </row>
    <row r="128" spans="1:10" x14ac:dyDescent="0.25">
      <c r="A128" s="7">
        <v>0.62</v>
      </c>
      <c r="B128" s="2">
        <v>0.5710554242712006</v>
      </c>
      <c r="C128" s="10">
        <f t="shared" si="21"/>
        <v>0.9898507497226835</v>
      </c>
      <c r="D128" s="12">
        <f t="shared" si="31"/>
        <v>1.7133844289387954</v>
      </c>
      <c r="E128" s="10">
        <f t="shared" si="19"/>
        <v>0.46351323972805447</v>
      </c>
      <c r="F128" s="10">
        <f t="shared" si="20"/>
        <v>0.27052495161003465</v>
      </c>
      <c r="G128" s="2">
        <f t="shared" si="35"/>
        <v>0.59016338633006837</v>
      </c>
      <c r="H128" s="2">
        <f t="shared" si="36"/>
        <v>1.0505508405956163</v>
      </c>
      <c r="I128" s="7">
        <f t="shared" si="37"/>
        <v>0.61999664159780876</v>
      </c>
      <c r="J128" s="1"/>
    </row>
    <row r="129" spans="1:10" x14ac:dyDescent="0.25">
      <c r="A129" s="7">
        <v>0.63</v>
      </c>
      <c r="B129" s="2">
        <v>0.57696070435709046</v>
      </c>
      <c r="C129" s="10">
        <f t="shared" si="21"/>
        <v>0.98808309364113811</v>
      </c>
      <c r="D129" s="12">
        <f t="shared" si="31"/>
        <v>1.7253266077400327</v>
      </c>
      <c r="E129" s="10">
        <f t="shared" si="19"/>
        <v>0.46935343735998564</v>
      </c>
      <c r="F129" s="10">
        <f t="shared" si="20"/>
        <v>0.27203744221784265</v>
      </c>
      <c r="G129" s="2">
        <f>SUM(E129/0.25)/PI()</f>
        <v>0.59759935690411181</v>
      </c>
      <c r="H129" s="2">
        <f>SUM((F129)/(0.25))^0.625</f>
        <v>1.0542179857742673</v>
      </c>
      <c r="I129" s="7">
        <f>SUM((F129/0.25)^0.625)*G129</f>
        <v>0.62999999033545018</v>
      </c>
      <c r="J129" s="1"/>
    </row>
    <row r="130" spans="1:10" x14ac:dyDescent="0.25">
      <c r="A130" s="7">
        <v>0.64</v>
      </c>
      <c r="B130" s="2">
        <v>0.58286948658964599</v>
      </c>
      <c r="C130" s="10">
        <f t="shared" si="21"/>
        <v>0.98616965719366656</v>
      </c>
      <c r="D130" s="12">
        <f t="shared" si="31"/>
        <v>1.7372981481832221</v>
      </c>
      <c r="E130" s="10">
        <f t="shared" ref="E130:E181" si="38">SUM((D130*0.5-(C130*(0.5-B130)))/2)</f>
        <v>0.47518622363676871</v>
      </c>
      <c r="F130" s="10">
        <f t="shared" ref="F130:F181" si="39">SUM(E130/D130)</f>
        <v>0.27352024989705664</v>
      </c>
      <c r="G130" s="2">
        <f t="shared" ref="G130:G135" si="40">SUM(E130/0.25)/PI()</f>
        <v>0.60502589104770066</v>
      </c>
      <c r="H130" s="2">
        <f t="shared" ref="H130:H135" si="41">SUM((F130)/(0.25))^0.625</f>
        <v>1.0578057476131515</v>
      </c>
      <c r="I130" s="7">
        <f t="shared" ref="I130:I135" si="42">SUM((F130/0.25)^0.625)*G130</f>
        <v>0.63999986500502615</v>
      </c>
      <c r="J130" s="1"/>
    </row>
    <row r="131" spans="1:10" x14ac:dyDescent="0.25">
      <c r="A131" s="7">
        <v>0.65</v>
      </c>
      <c r="B131" s="2">
        <v>0.58878583837315168</v>
      </c>
      <c r="C131" s="10">
        <f t="shared" si="21"/>
        <v>0.98410786990934396</v>
      </c>
      <c r="D131" s="12">
        <f t="shared" si="31"/>
        <v>1.7493092087060023</v>
      </c>
      <c r="E131" s="10">
        <f t="shared" si="38"/>
        <v>0.48101472331625938</v>
      </c>
      <c r="F131" s="10">
        <f t="shared" si="39"/>
        <v>0.27497409887419233</v>
      </c>
      <c r="G131" s="2">
        <f t="shared" si="40"/>
        <v>0.61244696732610437</v>
      </c>
      <c r="H131" s="2">
        <f t="shared" si="41"/>
        <v>1.0613163670964854</v>
      </c>
      <c r="I131" s="7">
        <f t="shared" si="42"/>
        <v>0.64999999040180101</v>
      </c>
      <c r="J131" s="1"/>
    </row>
    <row r="132" spans="1:10" x14ac:dyDescent="0.25">
      <c r="A132" s="7">
        <v>0.66</v>
      </c>
      <c r="B132" s="2">
        <v>0.59471141301705699</v>
      </c>
      <c r="C132" s="10">
        <f t="shared" si="21"/>
        <v>0.98189561205723386</v>
      </c>
      <c r="D132" s="12">
        <f t="shared" si="31"/>
        <v>1.7613651443678484</v>
      </c>
      <c r="E132" s="10">
        <f t="shared" si="38"/>
        <v>0.48683964651855643</v>
      </c>
      <c r="F132" s="10">
        <f t="shared" si="39"/>
        <v>0.27639904654368674</v>
      </c>
      <c r="G132" s="2">
        <f t="shared" si="40"/>
        <v>0.61986348989231432</v>
      </c>
      <c r="H132" s="2">
        <f t="shared" si="41"/>
        <v>1.0647504503620033</v>
      </c>
      <c r="I132" s="7">
        <f t="shared" si="42"/>
        <v>0.65999993002580482</v>
      </c>
      <c r="J132" s="1"/>
    </row>
    <row r="133" spans="1:10" x14ac:dyDescent="0.25">
      <c r="A133" s="7">
        <v>0.67</v>
      </c>
      <c r="B133" s="2">
        <v>0.60064820841243194</v>
      </c>
      <c r="C133" s="10">
        <f t="shared" si="21"/>
        <v>0.9795303734818388</v>
      </c>
      <c r="D133" s="12">
        <f t="shared" si="31"/>
        <v>1.773472097007105</v>
      </c>
      <c r="E133" s="10">
        <f t="shared" si="38"/>
        <v>0.49266201284002997</v>
      </c>
      <c r="F133" s="10">
        <f t="shared" si="39"/>
        <v>0.27779518700713801</v>
      </c>
      <c r="G133" s="2">
        <f t="shared" si="40"/>
        <v>0.62727675693674867</v>
      </c>
      <c r="H133" s="2">
        <f t="shared" si="41"/>
        <v>1.0681086759031342</v>
      </c>
      <c r="I133" s="7">
        <f t="shared" si="42"/>
        <v>0.66999974627652281</v>
      </c>
      <c r="J133" s="1"/>
    </row>
    <row r="134" spans="1:10" x14ac:dyDescent="0.25">
      <c r="A134" s="7">
        <v>0.68</v>
      </c>
      <c r="B134" s="2">
        <v>0.60659817656742343</v>
      </c>
      <c r="C134" s="10">
        <f t="shared" si="21"/>
        <v>0.97700937304101731</v>
      </c>
      <c r="D134" s="12">
        <f t="shared" si="31"/>
        <v>1.7856362143973603</v>
      </c>
      <c r="E134" s="10">
        <f t="shared" si="38"/>
        <v>0.49848276242706707</v>
      </c>
      <c r="F134" s="10">
        <f t="shared" si="39"/>
        <v>0.27916255192847411</v>
      </c>
      <c r="G134" s="2">
        <f t="shared" si="40"/>
        <v>0.63468796549096518</v>
      </c>
      <c r="H134" s="2">
        <f t="shared" si="41"/>
        <v>1.0713915564343286</v>
      </c>
      <c r="I134" s="7">
        <f t="shared" si="42"/>
        <v>0.67999932719750267</v>
      </c>
      <c r="J134" s="1"/>
    </row>
    <row r="135" spans="1:10" x14ac:dyDescent="0.25">
      <c r="A135" s="7">
        <v>0.69</v>
      </c>
      <c r="B135" s="2">
        <v>0.6125633064497219</v>
      </c>
      <c r="C135" s="10">
        <f t="shared" si="21"/>
        <v>0.9743295172396369</v>
      </c>
      <c r="D135" s="12">
        <f t="shared" si="31"/>
        <v>1.797863830192846</v>
      </c>
      <c r="E135" s="10">
        <f t="shared" si="38"/>
        <v>0.50430283356423888</v>
      </c>
      <c r="F135" s="10">
        <f t="shared" si="39"/>
        <v>0.28050112867009808</v>
      </c>
      <c r="G135" s="2">
        <f t="shared" si="40"/>
        <v>0.64209831021598407</v>
      </c>
      <c r="H135" s="2">
        <f t="shared" si="41"/>
        <v>1.0745994841730433</v>
      </c>
      <c r="I135" s="7">
        <f t="shared" si="42"/>
        <v>0.68999851294647918</v>
      </c>
      <c r="J135" s="1"/>
    </row>
    <row r="136" spans="1:10" x14ac:dyDescent="0.25">
      <c r="A136" s="7">
        <v>0.7</v>
      </c>
      <c r="B136" s="2">
        <v>0.61854545630258617</v>
      </c>
      <c r="C136" s="10">
        <f t="shared" si="21"/>
        <v>0.97148746732011249</v>
      </c>
      <c r="D136" s="12">
        <f t="shared" si="31"/>
        <v>1.8101611315593753</v>
      </c>
      <c r="E136" s="10">
        <f t="shared" si="38"/>
        <v>0.51012299544269712</v>
      </c>
      <c r="F136" s="10">
        <f t="shared" si="39"/>
        <v>0.2818108214506011</v>
      </c>
      <c r="G136" s="2">
        <f>SUM(E136/0.25)/PI()</f>
        <v>0.64950877047639721</v>
      </c>
      <c r="H136" s="2">
        <f>SUM((F136)/(0.25))^0.625</f>
        <v>1.0777326393427336</v>
      </c>
      <c r="I136" s="7">
        <f>SUM((F136/0.25)^0.625)*G136</f>
        <v>0.69999680148178134</v>
      </c>
      <c r="J136" s="1"/>
    </row>
    <row r="137" spans="1:10" x14ac:dyDescent="0.25">
      <c r="A137" s="7">
        <v>0.71</v>
      </c>
      <c r="B137" s="2">
        <v>0.62455068094176025</v>
      </c>
      <c r="C137" s="10">
        <f t="shared" si="21"/>
        <v>0.9684774192038631</v>
      </c>
      <c r="D137" s="12">
        <f t="shared" si="31"/>
        <v>1.8225431039493347</v>
      </c>
      <c r="E137" s="10">
        <f t="shared" si="38"/>
        <v>0.51594803700661351</v>
      </c>
      <c r="F137" s="10">
        <f t="shared" si="39"/>
        <v>0.28309236466813159</v>
      </c>
      <c r="G137" s="2">
        <f t="shared" ref="G137:G145" si="43">SUM(E137/0.25)/PI()</f>
        <v>0.65692544374530148</v>
      </c>
      <c r="H137" s="2">
        <f t="shared" ref="H137:H145" si="44">SUM((F137)/(0.25))^0.625</f>
        <v>1.0807931715195112</v>
      </c>
      <c r="I137" s="7">
        <f t="shared" ref="I137:I145" si="45">SUM((F137/0.25)^0.625)*G137</f>
        <v>0.71000053379734662</v>
      </c>
      <c r="J137" s="1"/>
    </row>
    <row r="138" spans="1:10" x14ac:dyDescent="0.25">
      <c r="A138" s="7">
        <v>0.72</v>
      </c>
      <c r="B138" s="2">
        <v>0.63057545960519001</v>
      </c>
      <c r="C138" s="10">
        <f t="shared" si="21"/>
        <v>0.96529798373122777</v>
      </c>
      <c r="D138" s="12">
        <f t="shared" si="31"/>
        <v>1.835005152400411</v>
      </c>
      <c r="E138" s="10">
        <f t="shared" si="38"/>
        <v>0.52177340204093692</v>
      </c>
      <c r="F138" s="10">
        <f t="shared" si="39"/>
        <v>0.28434437982824928</v>
      </c>
      <c r="G138" s="2">
        <f t="shared" si="43"/>
        <v>0.6643425288695195</v>
      </c>
      <c r="H138" s="2">
        <f t="shared" si="44"/>
        <v>1.0837781725396407</v>
      </c>
      <c r="I138" s="7">
        <f t="shared" si="45"/>
        <v>0.71999993187857136</v>
      </c>
      <c r="J138" s="1"/>
    </row>
    <row r="139" spans="1:10" x14ac:dyDescent="0.25">
      <c r="A139" s="7">
        <v>0.73</v>
      </c>
      <c r="B139" s="2">
        <v>0.63662496978884675</v>
      </c>
      <c r="C139" s="10">
        <f t="shared" si="21"/>
        <v>0.96194307031174509</v>
      </c>
      <c r="D139" s="12">
        <f t="shared" si="31"/>
        <v>1.8475607809730559</v>
      </c>
      <c r="E139" s="10">
        <f t="shared" si="38"/>
        <v>0.52760291670323034</v>
      </c>
      <c r="F139" s="10">
        <f t="shared" si="39"/>
        <v>0.28556728532923142</v>
      </c>
      <c r="G139" s="2">
        <f t="shared" si="43"/>
        <v>0.67176489746416501</v>
      </c>
      <c r="H139" s="2">
        <f t="shared" si="44"/>
        <v>1.086689017007439</v>
      </c>
      <c r="I139" s="7">
        <f t="shared" si="45"/>
        <v>0.72999953608543655</v>
      </c>
      <c r="J139" s="1"/>
    </row>
    <row r="140" spans="1:10" x14ac:dyDescent="0.25">
      <c r="A140" s="7">
        <v>0.74</v>
      </c>
      <c r="B140" s="2">
        <v>0.64270125134532607</v>
      </c>
      <c r="C140" s="10">
        <f t="shared" si="21"/>
        <v>0.95840774801642348</v>
      </c>
      <c r="D140" s="12">
        <f t="shared" si="31"/>
        <v>1.8602172193431459</v>
      </c>
      <c r="E140" s="10">
        <f t="shared" si="38"/>
        <v>0.53343729730628631</v>
      </c>
      <c r="F140" s="10">
        <f t="shared" si="39"/>
        <v>0.28676075662531836</v>
      </c>
      <c r="G140" s="2">
        <f t="shared" si="43"/>
        <v>0.67919346156701166</v>
      </c>
      <c r="H140" s="2">
        <f t="shared" si="44"/>
        <v>1.089525296445262</v>
      </c>
      <c r="I140" s="7">
        <f t="shared" si="45"/>
        <v>0.73999845755748206</v>
      </c>
      <c r="J140" s="1"/>
    </row>
    <row r="141" spans="1:10" x14ac:dyDescent="0.25">
      <c r="A141" s="7">
        <v>0.75</v>
      </c>
      <c r="B141" s="2">
        <v>0.64880673331251015</v>
      </c>
      <c r="C141" s="10">
        <f t="shared" si="21"/>
        <v>0.95468645349320735</v>
      </c>
      <c r="D141" s="12">
        <f t="shared" si="31"/>
        <v>1.8729827152623149</v>
      </c>
      <c r="E141" s="10">
        <f t="shared" si="38"/>
        <v>0.53927756505659363</v>
      </c>
      <c r="F141" s="10">
        <f t="shared" si="39"/>
        <v>0.28792447504304214</v>
      </c>
      <c r="G141" s="2">
        <f t="shared" si="43"/>
        <v>0.68662952141854439</v>
      </c>
      <c r="H141" s="2">
        <f t="shared" si="44"/>
        <v>1.0922866089355243</v>
      </c>
      <c r="I141" s="7">
        <f t="shared" si="45"/>
        <v>0.74999623154528383</v>
      </c>
      <c r="J141" s="1"/>
    </row>
    <row r="142" spans="1:10" x14ac:dyDescent="0.25">
      <c r="A142" s="7">
        <v>0.76</v>
      </c>
      <c r="B142" s="2">
        <v>0.65494391815899844</v>
      </c>
      <c r="C142" s="10">
        <f t="shared" si="21"/>
        <v>0.95077312167632833</v>
      </c>
      <c r="D142" s="12">
        <f t="shared" si="31"/>
        <v>1.8858659063632224</v>
      </c>
      <c r="E142" s="10">
        <f t="shared" si="38"/>
        <v>0.54512473296720187</v>
      </c>
      <c r="F142" s="10">
        <f t="shared" si="39"/>
        <v>0.28905805610455187</v>
      </c>
      <c r="G142" s="2">
        <f t="shared" si="43"/>
        <v>0.69407436682703727</v>
      </c>
      <c r="H142" s="2">
        <f t="shared" si="44"/>
        <v>1.0949723892528611</v>
      </c>
      <c r="I142" s="7">
        <f t="shared" si="45"/>
        <v>0.75999226776376771</v>
      </c>
      <c r="J142" s="1"/>
    </row>
    <row r="143" spans="1:10" x14ac:dyDescent="0.25">
      <c r="A143" s="7">
        <v>0.77</v>
      </c>
      <c r="B143" s="2">
        <v>0.66112416072719749</v>
      </c>
      <c r="C143" s="10">
        <f t="shared" si="21"/>
        <v>0.94665517445362601</v>
      </c>
      <c r="D143" s="12">
        <f t="shared" si="31"/>
        <v>1.8988943937327041</v>
      </c>
      <c r="E143" s="10">
        <f t="shared" si="38"/>
        <v>0.55098810867412562</v>
      </c>
      <c r="F143" s="10">
        <f t="shared" si="39"/>
        <v>0.29016258644643977</v>
      </c>
      <c r="G143" s="2">
        <f t="shared" si="43"/>
        <v>0.70153984864273211</v>
      </c>
      <c r="H143" s="2">
        <f t="shared" si="44"/>
        <v>1.0975855434357047</v>
      </c>
      <c r="I143" s="7">
        <f t="shared" si="45"/>
        <v>0.76999999601433511</v>
      </c>
      <c r="J143" s="1"/>
    </row>
    <row r="144" spans="1:10" x14ac:dyDescent="0.25">
      <c r="A144" s="7">
        <v>0.78</v>
      </c>
      <c r="B144" s="2">
        <v>0.66733874688143335</v>
      </c>
      <c r="C144" s="10">
        <f t="shared" si="21"/>
        <v>0.94233273060453882</v>
      </c>
      <c r="D144" s="12">
        <f t="shared" si="31"/>
        <v>1.912053814087914</v>
      </c>
      <c r="E144" s="10">
        <f t="shared" si="38"/>
        <v>0.55685784266433991</v>
      </c>
      <c r="F144" s="10">
        <f t="shared" si="39"/>
        <v>0.29123544461010459</v>
      </c>
      <c r="G144" s="2">
        <f t="shared" si="43"/>
        <v>0.70901342607614903</v>
      </c>
      <c r="H144" s="2">
        <f t="shared" si="44"/>
        <v>1.1001201970313188</v>
      </c>
      <c r="I144" s="7">
        <f t="shared" si="45"/>
        <v>0.77999998999274345</v>
      </c>
      <c r="J144" s="1"/>
    </row>
    <row r="145" spans="1:10" x14ac:dyDescent="0.25">
      <c r="A145" s="7">
        <v>0.79</v>
      </c>
      <c r="B145" s="2">
        <v>0.67359592305967442</v>
      </c>
      <c r="C145" s="10">
        <f t="shared" ref="C145:C181" si="46">SUM(2*((B145-B145^2)^0.5))</f>
        <v>0.93779412558846742</v>
      </c>
      <c r="D145" s="12">
        <f t="shared" si="31"/>
        <v>1.9253658600367558</v>
      </c>
      <c r="E145" s="10">
        <f t="shared" si="38"/>
        <v>0.5627400834449241</v>
      </c>
      <c r="F145" s="10">
        <f t="shared" si="39"/>
        <v>0.29227696155066407</v>
      </c>
      <c r="G145" s="2">
        <f t="shared" si="43"/>
        <v>0.71650292764964263</v>
      </c>
      <c r="H145" s="2">
        <f t="shared" si="44"/>
        <v>1.1025774588477935</v>
      </c>
      <c r="I145" s="7">
        <f t="shared" si="45"/>
        <v>0.78999997722494741</v>
      </c>
      <c r="J145" s="1"/>
    </row>
    <row r="146" spans="1:10" x14ac:dyDescent="0.25">
      <c r="A146" s="7">
        <v>0.8</v>
      </c>
      <c r="B146" s="2">
        <v>0.67989587642737759</v>
      </c>
      <c r="C146" s="10">
        <f t="shared" si="46"/>
        <v>0.93303263317940965</v>
      </c>
      <c r="D146" s="12">
        <f t="shared" si="31"/>
        <v>1.9388355371978043</v>
      </c>
      <c r="E146" s="10">
        <f t="shared" si="38"/>
        <v>0.56863324594002795</v>
      </c>
      <c r="F146" s="10">
        <f t="shared" si="39"/>
        <v>0.29328596213058516</v>
      </c>
      <c r="G146" s="2">
        <f>SUM(E146/0.25)/PI()</f>
        <v>0.724006335181959</v>
      </c>
      <c r="H146" s="2">
        <f>SUM((F146)/(0.25))^0.625</f>
        <v>1.1049548749399458</v>
      </c>
      <c r="I146" s="7">
        <f>SUM((F146/0.25)^0.625)*G146</f>
        <v>0.79999432954671001</v>
      </c>
      <c r="J146" s="1"/>
    </row>
    <row r="147" spans="1:10" x14ac:dyDescent="0.25">
      <c r="A147" s="7">
        <v>0.81</v>
      </c>
      <c r="B147" s="2">
        <v>0.68625522626569901</v>
      </c>
      <c r="C147" s="10">
        <f t="shared" si="46"/>
        <v>0.92802799675163528</v>
      </c>
      <c r="D147" s="12">
        <f t="shared" si="31"/>
        <v>1.9525035515206353</v>
      </c>
      <c r="E147" s="10">
        <f t="shared" si="38"/>
        <v>0.57455092013809839</v>
      </c>
      <c r="F147" s="10">
        <f t="shared" si="39"/>
        <v>0.29426370041203287</v>
      </c>
      <c r="G147" s="2">
        <f t="shared" ref="G147:G160" si="47">SUM(E147/0.25)/PI()</f>
        <v>0.7315409519838012</v>
      </c>
      <c r="H147" s="2">
        <f t="shared" ref="H147:H160" si="48">SUM((F147)/(0.25))^0.625</f>
        <v>1.1072557061784942</v>
      </c>
      <c r="I147" s="7">
        <f t="shared" ref="I147:I160" si="49">SUM((F147/0.25)^0.625)*G147</f>
        <v>0.81000289338731168</v>
      </c>
      <c r="J147" s="1"/>
    </row>
    <row r="148" spans="1:10" x14ac:dyDescent="0.25">
      <c r="A148" s="7">
        <v>0.82</v>
      </c>
      <c r="B148" s="2">
        <v>0.69266185299965277</v>
      </c>
      <c r="C148" s="10">
        <f t="shared" si="46"/>
        <v>0.92278147011898803</v>
      </c>
      <c r="D148" s="12">
        <f t="shared" si="31"/>
        <v>1.9663494378700761</v>
      </c>
      <c r="E148" s="10">
        <f t="shared" si="38"/>
        <v>0.58047975344095304</v>
      </c>
      <c r="F148" s="10">
        <f t="shared" si="39"/>
        <v>0.29520681434410817</v>
      </c>
      <c r="G148" s="2">
        <f t="shared" si="47"/>
        <v>0.73908977699913858</v>
      </c>
      <c r="H148" s="2">
        <f t="shared" si="48"/>
        <v>1.1094723439729461</v>
      </c>
      <c r="I148" s="7">
        <f t="shared" si="49"/>
        <v>0.81999966729367635</v>
      </c>
      <c r="J148" s="1"/>
    </row>
    <row r="149" spans="1:10" x14ac:dyDescent="0.25">
      <c r="A149" s="7">
        <v>0.83000000000000096</v>
      </c>
      <c r="B149" s="2">
        <v>0.69912880779580655</v>
      </c>
      <c r="C149" s="10">
        <f t="shared" si="46"/>
        <v>0.91727360783099121</v>
      </c>
      <c r="D149" s="12">
        <f t="shared" si="31"/>
        <v>1.980407382917905</v>
      </c>
      <c r="E149" s="10">
        <f t="shared" si="38"/>
        <v>0.586429645704448</v>
      </c>
      <c r="F149" s="10">
        <f t="shared" si="39"/>
        <v>0.29611566325329014</v>
      </c>
      <c r="G149" s="2">
        <f t="shared" si="47"/>
        <v>0.74666541511593421</v>
      </c>
      <c r="H149" s="2">
        <f t="shared" si="48"/>
        <v>1.1116059360664312</v>
      </c>
      <c r="I149" s="7">
        <f t="shared" si="49"/>
        <v>0.82999770769837844</v>
      </c>
      <c r="J149" s="1"/>
    </row>
    <row r="150" spans="1:10" x14ac:dyDescent="0.25">
      <c r="A150" s="7">
        <v>0.84000000000000097</v>
      </c>
      <c r="B150" s="2">
        <v>0.70565835612495798</v>
      </c>
      <c r="C150" s="10">
        <f t="shared" si="46"/>
        <v>0.91149249158943701</v>
      </c>
      <c r="D150" s="12">
        <f t="shared" si="31"/>
        <v>1.9946890066809166</v>
      </c>
      <c r="E150" s="10">
        <f t="shared" si="38"/>
        <v>0.592400275390492</v>
      </c>
      <c r="F150" s="10">
        <f t="shared" si="39"/>
        <v>0.2969887904361706</v>
      </c>
      <c r="G150" s="2">
        <f t="shared" si="47"/>
        <v>0.75426745693917507</v>
      </c>
      <c r="H150" s="2">
        <f t="shared" si="48"/>
        <v>1.1136533570782448</v>
      </c>
      <c r="I150" s="7">
        <f t="shared" si="49"/>
        <v>0.83999248555518269</v>
      </c>
      <c r="J150" s="1"/>
    </row>
    <row r="151" spans="1:10" x14ac:dyDescent="0.25">
      <c r="A151" s="7">
        <v>0.85000000000000098</v>
      </c>
      <c r="B151" s="2">
        <v>0.71226677829698615</v>
      </c>
      <c r="C151" s="10">
        <f t="shared" si="46"/>
        <v>0.90541220409583212</v>
      </c>
      <c r="D151" s="12">
        <f t="shared" si="31"/>
        <v>2.0092374981379004</v>
      </c>
      <c r="E151" s="10">
        <f t="shared" si="38"/>
        <v>0.5984038403315729</v>
      </c>
      <c r="F151" s="10">
        <f t="shared" si="39"/>
        <v>0.2978263350580283</v>
      </c>
      <c r="G151" s="2">
        <f t="shared" si="47"/>
        <v>0.76191143323154487</v>
      </c>
      <c r="H151" s="2">
        <f t="shared" si="48"/>
        <v>1.1156152194482329</v>
      </c>
      <c r="I151" s="7">
        <f t="shared" si="49"/>
        <v>0.84999999078472765</v>
      </c>
      <c r="J151" s="1"/>
    </row>
    <row r="152" spans="1:10" x14ac:dyDescent="0.25">
      <c r="A152" s="7">
        <v>0.85499999999999998</v>
      </c>
      <c r="B152" s="2">
        <v>0.71559691226746758</v>
      </c>
      <c r="C152" s="10">
        <f t="shared" si="46"/>
        <v>0.90225932285731225</v>
      </c>
      <c r="D152" s="12">
        <f t="shared" si="31"/>
        <v>2.0166063565879835</v>
      </c>
      <c r="E152" s="10">
        <f t="shared" si="38"/>
        <v>0.60141375118328222</v>
      </c>
      <c r="F152" s="10">
        <f t="shared" si="39"/>
        <v>0.29823061363391218</v>
      </c>
      <c r="G152" s="2">
        <f t="shared" si="47"/>
        <v>0.76574377075406874</v>
      </c>
      <c r="H152" s="2">
        <f t="shared" si="48"/>
        <v>1.1165614600878961</v>
      </c>
      <c r="I152" s="7">
        <f t="shared" si="49"/>
        <v>0.85499998272637423</v>
      </c>
      <c r="J152" s="1"/>
    </row>
    <row r="153" spans="1:10" x14ac:dyDescent="0.25">
      <c r="A153" s="7">
        <v>0.86</v>
      </c>
      <c r="B153" s="2">
        <v>0.71894709778321442</v>
      </c>
      <c r="C153" s="10">
        <f t="shared" si="46"/>
        <v>0.89902651434161274</v>
      </c>
      <c r="D153" s="12">
        <f t="shared" si="31"/>
        <v>2.0240458645102817</v>
      </c>
      <c r="E153" s="10">
        <f t="shared" si="38"/>
        <v>0.60443108920019817</v>
      </c>
      <c r="F153" s="10">
        <f t="shared" si="39"/>
        <v>0.29862519412149802</v>
      </c>
      <c r="G153" s="2">
        <f t="shared" si="47"/>
        <v>0.76958556483703888</v>
      </c>
      <c r="H153" s="2">
        <f t="shared" si="48"/>
        <v>1.1174845379758132</v>
      </c>
      <c r="I153" s="7">
        <f t="shared" si="49"/>
        <v>0.85999996935477363</v>
      </c>
      <c r="J153" s="1"/>
    </row>
    <row r="154" spans="1:10" x14ac:dyDescent="0.25">
      <c r="A154" s="7">
        <v>0.86499999999999999</v>
      </c>
      <c r="B154" s="2">
        <v>0.72231823672158757</v>
      </c>
      <c r="C154" s="10">
        <f t="shared" si="46"/>
        <v>0.89571111776287371</v>
      </c>
      <c r="D154" s="12">
        <f t="shared" si="31"/>
        <v>2.0315592146948092</v>
      </c>
      <c r="E154" s="10">
        <f t="shared" si="38"/>
        <v>0.60745626183018442</v>
      </c>
      <c r="F154" s="10">
        <f t="shared" si="39"/>
        <v>0.29900987253351585</v>
      </c>
      <c r="G154" s="2">
        <f t="shared" si="47"/>
        <v>0.77343733425918781</v>
      </c>
      <c r="H154" s="2">
        <f t="shared" si="48"/>
        <v>1.1183840108347614</v>
      </c>
      <c r="I154" s="7">
        <f t="shared" si="49"/>
        <v>0.8649999480181364</v>
      </c>
      <c r="J154" s="1"/>
    </row>
    <row r="155" spans="1:10" x14ac:dyDescent="0.25">
      <c r="A155" s="7">
        <v>0.87</v>
      </c>
      <c r="B155" s="2">
        <v>0.72571128206554947</v>
      </c>
      <c r="C155" s="10">
        <f t="shared" si="46"/>
        <v>0.89231029837904696</v>
      </c>
      <c r="D155" s="12">
        <f t="shared" si="31"/>
        <v>2.0391497927984608</v>
      </c>
      <c r="E155" s="10">
        <f t="shared" si="38"/>
        <v>0.61048969892332905</v>
      </c>
      <c r="F155" s="10">
        <f t="shared" si="39"/>
        <v>0.29938443025586337</v>
      </c>
      <c r="G155" s="2">
        <f t="shared" si="47"/>
        <v>0.77729962632264604</v>
      </c>
      <c r="H155" s="2">
        <f t="shared" si="48"/>
        <v>1.1192594021559505</v>
      </c>
      <c r="I155" s="7">
        <f t="shared" si="49"/>
        <v>0.8699999150539286</v>
      </c>
      <c r="J155" s="1"/>
    </row>
    <row r="156" spans="1:10" x14ac:dyDescent="0.25">
      <c r="A156" s="7">
        <v>0.875</v>
      </c>
      <c r="B156" s="2">
        <v>0.72912724227269055</v>
      </c>
      <c r="C156" s="10">
        <f t="shared" si="46"/>
        <v>0.88882103226355247</v>
      </c>
      <c r="D156" s="12">
        <f t="shared" si="31"/>
        <v>2.046821194442582</v>
      </c>
      <c r="E156" s="10">
        <f t="shared" si="38"/>
        <v>0.61353185460890247</v>
      </c>
      <c r="F156" s="10">
        <f t="shared" si="39"/>
        <v>0.29974863279446728</v>
      </c>
      <c r="G156" s="2">
        <f t="shared" si="47"/>
        <v>0.78117301924275906</v>
      </c>
      <c r="H156" s="2">
        <f t="shared" si="48"/>
        <v>1.1201101982946466</v>
      </c>
      <c r="I156" s="7">
        <f t="shared" si="49"/>
        <v>0.87499986548643471</v>
      </c>
      <c r="J156" s="1"/>
    </row>
    <row r="157" spans="1:10" x14ac:dyDescent="0.25">
      <c r="A157" s="7">
        <v>0.88</v>
      </c>
      <c r="B157" s="2">
        <v>0.73256718611113791</v>
      </c>
      <c r="C157" s="10">
        <f t="shared" si="46"/>
        <v>0.88524008934152398</v>
      </c>
      <c r="D157" s="12">
        <f t="shared" si="31"/>
        <v>2.054577244224657</v>
      </c>
      <c r="E157" s="10">
        <f t="shared" si="38"/>
        <v>0.61658320936162958</v>
      </c>
      <c r="F157" s="10">
        <f t="shared" si="39"/>
        <v>0.30010222837560518</v>
      </c>
      <c r="G157" s="2">
        <f t="shared" si="47"/>
        <v>0.78505812477894676</v>
      </c>
      <c r="H157" s="2">
        <f t="shared" si="48"/>
        <v>1.1209358452234717</v>
      </c>
      <c r="I157" s="7">
        <f t="shared" si="49"/>
        <v>0.87999979264864236</v>
      </c>
      <c r="J157" s="1"/>
    </row>
    <row r="158" spans="1:10" x14ac:dyDescent="0.25">
      <c r="A158" s="7">
        <v>0.88500000000000001</v>
      </c>
      <c r="B158" s="2">
        <v>0.73603224802296907</v>
      </c>
      <c r="C158" s="10">
        <f t="shared" si="46"/>
        <v>0.88156401444982679</v>
      </c>
      <c r="D158" s="12">
        <f t="shared" si="31"/>
        <v>2.0624220169060257</v>
      </c>
      <c r="E158" s="10">
        <f t="shared" si="38"/>
        <v>0.61964427227987928</v>
      </c>
      <c r="F158" s="10">
        <f t="shared" si="39"/>
        <v>0.30044494637884456</v>
      </c>
      <c r="G158" s="2">
        <f t="shared" si="47"/>
        <v>0.78895559113538472</v>
      </c>
      <c r="H158" s="2">
        <f t="shared" si="48"/>
        <v>1.1217357448945986</v>
      </c>
      <c r="I158" s="7">
        <f t="shared" si="49"/>
        <v>0.88499968771100912</v>
      </c>
      <c r="J158" s="1"/>
    </row>
    <row r="159" spans="1:10" x14ac:dyDescent="0.25">
      <c r="A159" s="7">
        <v>0.89</v>
      </c>
      <c r="B159" s="2">
        <v>0.73952363408501454</v>
      </c>
      <c r="C159" s="10">
        <f t="shared" si="46"/>
        <v>0.87778910614043981</v>
      </c>
      <c r="D159" s="12">
        <f t="shared" si="31"/>
        <v>2.0703598610799157</v>
      </c>
      <c r="E159" s="10">
        <f t="shared" si="38"/>
        <v>0.62271558360147627</v>
      </c>
      <c r="F159" s="10">
        <f t="shared" si="39"/>
        <v>0.3007764955782436</v>
      </c>
      <c r="G159" s="2">
        <f t="shared" si="47"/>
        <v>0.79286610616423481</v>
      </c>
      <c r="H159" s="2">
        <f t="shared" si="48"/>
        <v>1.1225092511538273</v>
      </c>
      <c r="I159" s="7">
        <f t="shared" si="49"/>
        <v>0.88999953909566609</v>
      </c>
      <c r="J159" s="1"/>
    </row>
    <row r="160" spans="1:10" x14ac:dyDescent="0.25">
      <c r="A160" s="7">
        <v>0.89500000000000002</v>
      </c>
      <c r="B160" s="2">
        <v>0.74304262864781689</v>
      </c>
      <c r="C160" s="10">
        <f t="shared" si="46"/>
        <v>0.8739113928996679</v>
      </c>
      <c r="D160" s="12">
        <f t="shared" si="31"/>
        <v>2.0783954256744326</v>
      </c>
      <c r="E160" s="10">
        <f t="shared" si="38"/>
        <v>0.62579771748641333</v>
      </c>
      <c r="F160" s="10">
        <f t="shared" si="39"/>
        <v>0.30109656216325825</v>
      </c>
      <c r="G160" s="2">
        <f t="shared" si="47"/>
        <v>0.7967904009087049</v>
      </c>
      <c r="H160" s="2">
        <f t="shared" si="48"/>
        <v>1.1232556651396628</v>
      </c>
      <c r="I160" s="7">
        <f t="shared" si="49"/>
        <v>0.89499933174960589</v>
      </c>
      <c r="J160" s="1"/>
    </row>
    <row r="161" spans="1:10" x14ac:dyDescent="0.25">
      <c r="A161" s="7">
        <v>0.9</v>
      </c>
      <c r="B161" s="2">
        <v>0.74658713695003209</v>
      </c>
      <c r="C161" s="10">
        <f t="shared" si="46"/>
        <v>0.86993053490675021</v>
      </c>
      <c r="D161" s="12">
        <f t="shared" si="31"/>
        <v>2.0865257240021071</v>
      </c>
      <c r="E161" s="10">
        <f t="shared" si="38"/>
        <v>0.62888827097455957</v>
      </c>
      <c r="F161" s="10">
        <f t="shared" si="39"/>
        <v>0.30140451360853887</v>
      </c>
      <c r="G161" s="2">
        <f>SUM(E161/0.25)/PI()</f>
        <v>0.80072541582493184</v>
      </c>
      <c r="H161" s="2">
        <f>SUM((F161)/(0.25))^0.625</f>
        <v>1.1239735451025821</v>
      </c>
      <c r="I161" s="7">
        <f>SUM((F161/0.25)^0.625)*G161</f>
        <v>0.89999418427848776</v>
      </c>
      <c r="J161" s="1"/>
    </row>
    <row r="162" spans="1:10" x14ac:dyDescent="0.25">
      <c r="A162" s="7">
        <v>0.90500000000000003</v>
      </c>
      <c r="B162" s="2">
        <v>0.75016989776074916</v>
      </c>
      <c r="C162" s="10">
        <f t="shared" si="46"/>
        <v>0.86582913384657212</v>
      </c>
      <c r="D162" s="12">
        <f t="shared" si="31"/>
        <v>2.0947820293493145</v>
      </c>
      <c r="E162" s="10">
        <f t="shared" si="38"/>
        <v>0.63199770028366609</v>
      </c>
      <c r="F162" s="10">
        <f t="shared" si="39"/>
        <v>0.30170093662679476</v>
      </c>
      <c r="G162" s="2">
        <f t="shared" ref="G162:G180" si="50">SUM(E162/0.25)/PI()</f>
        <v>0.80468446418284478</v>
      </c>
      <c r="H162" s="2">
        <f t="shared" ref="H162:H180" si="51">SUM((F162)/(0.25))^0.625</f>
        <v>1.1246642908572693</v>
      </c>
      <c r="I162" s="7">
        <f t="shared" ref="I162:I180" si="52">SUM((F162/0.25)^0.625)*G162</f>
        <v>0.90499988227406081</v>
      </c>
      <c r="J162" s="1"/>
    </row>
    <row r="163" spans="1:10" x14ac:dyDescent="0.25">
      <c r="A163" s="7">
        <v>0.91</v>
      </c>
      <c r="B163" s="2">
        <v>0.75378325212450481</v>
      </c>
      <c r="C163" s="10">
        <f t="shared" si="46"/>
        <v>0.86161258333687296</v>
      </c>
      <c r="D163" s="12">
        <f t="shared" si="31"/>
        <v>2.1031489299477526</v>
      </c>
      <c r="E163" s="10">
        <f t="shared" si="38"/>
        <v>0.63511865422225189</v>
      </c>
      <c r="F163" s="10">
        <f t="shared" si="39"/>
        <v>0.3019846313204409</v>
      </c>
      <c r="G163" s="2">
        <f t="shared" si="50"/>
        <v>0.80865818615474927</v>
      </c>
      <c r="H163" s="2">
        <f t="shared" si="51"/>
        <v>1.1253251378737208</v>
      </c>
      <c r="I163" s="7">
        <f t="shared" si="52"/>
        <v>0.91000338482730625</v>
      </c>
      <c r="J163" s="1"/>
    </row>
    <row r="164" spans="1:10" x14ac:dyDescent="0.25">
      <c r="A164" s="7">
        <v>0.91500000000000004</v>
      </c>
      <c r="B164" s="2">
        <v>0.75742523275016427</v>
      </c>
      <c r="C164" s="10">
        <f t="shared" si="46"/>
        <v>0.8572799998682431</v>
      </c>
      <c r="D164" s="12">
        <f t="shared" si="31"/>
        <v>2.1116240583219081</v>
      </c>
      <c r="E164" s="10">
        <f t="shared" si="38"/>
        <v>0.63824876632954863</v>
      </c>
      <c r="F164" s="10">
        <f t="shared" si="39"/>
        <v>0.30225492261002185</v>
      </c>
      <c r="G164" s="2">
        <f t="shared" si="50"/>
        <v>0.81264356866921372</v>
      </c>
      <c r="H164" s="2">
        <f t="shared" si="51"/>
        <v>1.1259545460589264</v>
      </c>
      <c r="I164" s="7">
        <f t="shared" si="52"/>
        <v>0.91499972046865052</v>
      </c>
      <c r="J164" s="1"/>
    </row>
    <row r="165" spans="1:10" x14ac:dyDescent="0.25">
      <c r="A165" s="7">
        <v>0.92</v>
      </c>
      <c r="B165" s="2">
        <v>0.76110451885190233</v>
      </c>
      <c r="C165" s="10">
        <f t="shared" si="46"/>
        <v>0.85281751913317694</v>
      </c>
      <c r="D165" s="12">
        <f t="shared" si="31"/>
        <v>2.120230031613255</v>
      </c>
      <c r="E165" s="10">
        <f t="shared" si="38"/>
        <v>0.64139476190418432</v>
      </c>
      <c r="F165" s="10">
        <f t="shared" si="39"/>
        <v>0.30251187481584513</v>
      </c>
      <c r="G165" s="2">
        <f t="shared" si="50"/>
        <v>0.81664917464240172</v>
      </c>
      <c r="H165" s="2">
        <f t="shared" si="51"/>
        <v>1.1265526967927821</v>
      </c>
      <c r="I165" s="7">
        <f t="shared" si="52"/>
        <v>0.91999833002699738</v>
      </c>
      <c r="J165" s="1"/>
    </row>
    <row r="166" spans="1:10" x14ac:dyDescent="0.25">
      <c r="A166" s="7">
        <v>0.92500000000000004</v>
      </c>
      <c r="B166" s="2">
        <v>0.76482001823611356</v>
      </c>
      <c r="C166" s="10">
        <f t="shared" si="46"/>
        <v>0.84822251312123154</v>
      </c>
      <c r="D166" s="12">
        <f t="shared" si="31"/>
        <v>2.1289669823697892</v>
      </c>
      <c r="E166" s="10">
        <f t="shared" si="38"/>
        <v>0.64455489628897067</v>
      </c>
      <c r="F166" s="10">
        <f t="shared" si="39"/>
        <v>0.30275476398957851</v>
      </c>
      <c r="G166" s="2">
        <f t="shared" si="50"/>
        <v>0.82067278270778909</v>
      </c>
      <c r="H166" s="2">
        <f t="shared" si="51"/>
        <v>1.1271179355038685</v>
      </c>
      <c r="I166" s="7">
        <f t="shared" si="52"/>
        <v>0.92499501256981809</v>
      </c>
      <c r="J166" s="1"/>
    </row>
    <row r="167" spans="1:10" x14ac:dyDescent="0.25">
      <c r="A167" s="7">
        <v>0.93</v>
      </c>
      <c r="B167" s="2">
        <v>0.76858157763087909</v>
      </c>
      <c r="C167" s="10">
        <f t="shared" si="46"/>
        <v>0.843478360498497</v>
      </c>
      <c r="D167" s="12">
        <f t="shared" si="31"/>
        <v>2.1378610715245152</v>
      </c>
      <c r="E167" s="10">
        <f t="shared" si="38"/>
        <v>0.64773664226122563</v>
      </c>
      <c r="F167" s="10">
        <f t="shared" si="39"/>
        <v>0.30298350575200039</v>
      </c>
      <c r="G167" s="2">
        <f t="shared" si="50"/>
        <v>0.82472390750096591</v>
      </c>
      <c r="H167" s="2">
        <f t="shared" si="51"/>
        <v>1.1276500956524862</v>
      </c>
      <c r="I167" s="7">
        <f t="shared" si="52"/>
        <v>0.92999999318035642</v>
      </c>
      <c r="J167" s="1"/>
    </row>
    <row r="168" spans="1:10" x14ac:dyDescent="0.25">
      <c r="A168" s="7">
        <v>0.93500000000000005</v>
      </c>
      <c r="B168" s="2">
        <v>0.77238160774200382</v>
      </c>
      <c r="C168" s="10">
        <f t="shared" si="46"/>
        <v>0.83858991113387749</v>
      </c>
      <c r="D168" s="12">
        <f t="shared" si="31"/>
        <v>2.1468975757294277</v>
      </c>
      <c r="E168" s="10">
        <f t="shared" si="38"/>
        <v>0.65093262804779173</v>
      </c>
      <c r="F168" s="10">
        <f t="shared" si="39"/>
        <v>0.30319687133962669</v>
      </c>
      <c r="G168" s="2">
        <f t="shared" si="50"/>
        <v>0.82879316298883332</v>
      </c>
      <c r="H168" s="2">
        <f t="shared" si="51"/>
        <v>1.1281463478449378</v>
      </c>
      <c r="I168" s="7">
        <f t="shared" si="52"/>
        <v>0.93499997994470663</v>
      </c>
      <c r="J168" s="1"/>
    </row>
    <row r="169" spans="1:10" x14ac:dyDescent="0.25">
      <c r="A169" s="7">
        <v>0.94</v>
      </c>
      <c r="B169" s="2">
        <v>0.77622640376867869</v>
      </c>
      <c r="C169" s="10">
        <f t="shared" si="46"/>
        <v>0.83354417726002461</v>
      </c>
      <c r="D169" s="12">
        <f t="shared" si="31"/>
        <v>2.1560948499211614</v>
      </c>
      <c r="E169" s="10">
        <f t="shared" si="38"/>
        <v>0.65414716771371961</v>
      </c>
      <c r="F169" s="10">
        <f t="shared" si="39"/>
        <v>0.30339442985898268</v>
      </c>
      <c r="G169" s="2">
        <f t="shared" si="50"/>
        <v>0.83288604200961247</v>
      </c>
      <c r="H169" s="2">
        <f t="shared" si="51"/>
        <v>1.1286057187235981</v>
      </c>
      <c r="I169" s="7">
        <f t="shared" si="52"/>
        <v>0.93999995005711157</v>
      </c>
      <c r="J169" s="1"/>
    </row>
    <row r="170" spans="1:10" x14ac:dyDescent="0.25">
      <c r="A170" s="7">
        <v>0.94499999999999995</v>
      </c>
      <c r="B170" s="2">
        <v>0.78011877425579024</v>
      </c>
      <c r="C170" s="10">
        <f t="shared" si="46"/>
        <v>0.82833199216119524</v>
      </c>
      <c r="D170" s="12">
        <f t="shared" si="31"/>
        <v>2.1654633987681526</v>
      </c>
      <c r="E170" s="10">
        <f t="shared" si="38"/>
        <v>0.65738152085256363</v>
      </c>
      <c r="F170" s="10">
        <f t="shared" si="39"/>
        <v>0.30357544774320466</v>
      </c>
      <c r="G170" s="2">
        <f t="shared" si="50"/>
        <v>0.83700414832762704</v>
      </c>
      <c r="H170" s="2">
        <f t="shared" si="51"/>
        <v>1.129026530195792</v>
      </c>
      <c r="I170" s="7">
        <f t="shared" si="52"/>
        <v>0.9449998893458248</v>
      </c>
      <c r="J170" s="1"/>
    </row>
    <row r="171" spans="1:10" x14ac:dyDescent="0.25">
      <c r="A171" s="7">
        <v>0.95</v>
      </c>
      <c r="B171" s="2">
        <v>0.78406180004686099</v>
      </c>
      <c r="C171" s="10">
        <f t="shared" si="46"/>
        <v>0.82294323924347823</v>
      </c>
      <c r="D171" s="12">
        <f t="shared" si="31"/>
        <v>2.175014794536605</v>
      </c>
      <c r="E171" s="10">
        <f t="shared" si="38"/>
        <v>0.66063706757209972</v>
      </c>
      <c r="F171" s="10">
        <f t="shared" si="39"/>
        <v>0.30373911443340362</v>
      </c>
      <c r="G171" s="2">
        <f t="shared" si="50"/>
        <v>0.84114923915067319</v>
      </c>
      <c r="H171" s="2">
        <f t="shared" si="51"/>
        <v>1.1294069244315668</v>
      </c>
      <c r="I171" s="7">
        <f t="shared" si="52"/>
        <v>0.9499997751771142</v>
      </c>
      <c r="J171" s="1"/>
    </row>
    <row r="172" spans="1:10" x14ac:dyDescent="0.25">
      <c r="A172" s="7">
        <v>0.95499999999999996</v>
      </c>
      <c r="B172" s="2">
        <v>0.78805887195761071</v>
      </c>
      <c r="C172" s="10">
        <f t="shared" si="46"/>
        <v>0.81736671399441962</v>
      </c>
      <c r="D172" s="12">
        <f t="shared" si="31"/>
        <v>2.1847618310835721</v>
      </c>
      <c r="E172" s="10">
        <f t="shared" si="38"/>
        <v>0.66391532457535885</v>
      </c>
      <c r="F172" s="10">
        <f t="shared" si="39"/>
        <v>0.30388453108688651</v>
      </c>
      <c r="G172" s="2">
        <f t="shared" si="50"/>
        <v>0.8453232456050277</v>
      </c>
      <c r="H172" s="2">
        <f t="shared" si="51"/>
        <v>1.1297448374382084</v>
      </c>
      <c r="I172" s="7">
        <f t="shared" si="52"/>
        <v>0.95499957268879077</v>
      </c>
      <c r="J172" s="1"/>
    </row>
    <row r="173" spans="1:10" x14ac:dyDescent="0.25">
      <c r="A173" s="7">
        <v>0.96</v>
      </c>
      <c r="B173" s="2">
        <v>0.7921137350999744</v>
      </c>
      <c r="C173" s="10">
        <f t="shared" si="46"/>
        <v>0.81158995993282701</v>
      </c>
      <c r="D173" s="12">
        <f t="shared" si="31"/>
        <v>2.1947187064443363</v>
      </c>
      <c r="E173" s="10">
        <f t="shared" si="38"/>
        <v>0.66721796389389243</v>
      </c>
      <c r="F173" s="10">
        <f t="shared" si="39"/>
        <v>0.30401069710425543</v>
      </c>
      <c r="G173" s="2">
        <f t="shared" si="50"/>
        <v>0.84952829658738183</v>
      </c>
      <c r="H173" s="2">
        <f t="shared" si="51"/>
        <v>1.1300379675142194</v>
      </c>
      <c r="I173" s="7">
        <f t="shared" si="52"/>
        <v>0.95999922962142192</v>
      </c>
      <c r="J173" s="1"/>
    </row>
    <row r="174" spans="1:10" x14ac:dyDescent="0.25">
      <c r="A174" s="7">
        <v>0.96499999999999997</v>
      </c>
      <c r="B174" s="2">
        <v>0.79623054129134818</v>
      </c>
      <c r="C174" s="10">
        <f t="shared" si="46"/>
        <v>0.80559907250749707</v>
      </c>
      <c r="D174" s="12">
        <f t="shared" si="31"/>
        <v>2.2049012405529727</v>
      </c>
      <c r="E174" s="10">
        <f t="shared" si="38"/>
        <v>0.67054683479459509</v>
      </c>
      <c r="F174" s="10">
        <f t="shared" si="39"/>
        <v>0.30411649395526985</v>
      </c>
      <c r="G174" s="2">
        <f t="shared" si="50"/>
        <v>0.85376674665747465</v>
      </c>
      <c r="H174" s="2">
        <f t="shared" si="51"/>
        <v>1.1302837373585473</v>
      </c>
      <c r="I174" s="7">
        <f t="shared" si="52"/>
        <v>0.96499866924445843</v>
      </c>
      <c r="J174" s="1"/>
    </row>
    <row r="175" spans="1:10" x14ac:dyDescent="0.25">
      <c r="A175" s="7">
        <v>0.97</v>
      </c>
      <c r="B175" s="2">
        <v>0.80041391135217865</v>
      </c>
      <c r="C175" s="10">
        <f t="shared" si="46"/>
        <v>0.79937846322273487</v>
      </c>
      <c r="D175" s="12">
        <f t="shared" si="31"/>
        <v>2.2153271364263141</v>
      </c>
      <c r="E175" s="10">
        <f t="shared" si="38"/>
        <v>0.67390398950029629</v>
      </c>
      <c r="F175" s="10">
        <f t="shared" si="39"/>
        <v>0.3042006656350601</v>
      </c>
      <c r="G175" s="2">
        <f t="shared" si="50"/>
        <v>0.85804120878656709</v>
      </c>
      <c r="H175" s="2">
        <f t="shared" si="51"/>
        <v>1.1304792482608859</v>
      </c>
      <c r="I175" s="7">
        <f t="shared" si="52"/>
        <v>0.96999778068590015</v>
      </c>
      <c r="J175" s="1"/>
    </row>
    <row r="176" spans="1:10" x14ac:dyDescent="0.25">
      <c r="A176" s="7">
        <v>0.97499999999999998</v>
      </c>
      <c r="B176" s="2">
        <v>0.80466900957395271</v>
      </c>
      <c r="C176" s="10">
        <f t="shared" si="46"/>
        <v>0.79291057403777054</v>
      </c>
      <c r="D176" s="12">
        <f t="shared" si="31"/>
        <v>2.2260162955102869</v>
      </c>
      <c r="E176" s="10">
        <f t="shared" si="38"/>
        <v>0.67729171351397266</v>
      </c>
      <c r="F176" s="10">
        <f t="shared" si="39"/>
        <v>0.30426179488444033</v>
      </c>
      <c r="G176" s="2">
        <f t="shared" si="50"/>
        <v>0.86235459296742878</v>
      </c>
      <c r="H176" s="2">
        <f t="shared" si="51"/>
        <v>1.1306212243316325</v>
      </c>
      <c r="I176" s="7">
        <f t="shared" si="52"/>
        <v>0.97499640570884094</v>
      </c>
      <c r="J176" s="1"/>
    </row>
    <row r="177" spans="1:10" x14ac:dyDescent="0.25">
      <c r="A177" s="7">
        <v>0.98</v>
      </c>
      <c r="B177" s="2">
        <v>0.80900163326739327</v>
      </c>
      <c r="C177" s="10">
        <f t="shared" si="46"/>
        <v>0.78617552909788124</v>
      </c>
      <c r="D177" s="12">
        <f t="shared" si="31"/>
        <v>2.2369912010497952</v>
      </c>
      <c r="E177" s="10">
        <f t="shared" si="38"/>
        <v>0.68071256152549997</v>
      </c>
      <c r="F177" s="10">
        <f t="shared" si="39"/>
        <v>0.30429827404151127</v>
      </c>
      <c r="G177" s="2">
        <f t="shared" si="50"/>
        <v>0.866710151932234</v>
      </c>
      <c r="H177" s="2">
        <f t="shared" si="51"/>
        <v>1.1307059441001057</v>
      </c>
      <c r="I177" s="7">
        <f t="shared" si="52"/>
        <v>0.97999432060168268</v>
      </c>
      <c r="J177" s="1"/>
    </row>
    <row r="178" spans="1:10" x14ac:dyDescent="0.25">
      <c r="A178" s="7">
        <v>0.98499999999999999</v>
      </c>
      <c r="B178" s="2">
        <v>0.81341832113075208</v>
      </c>
      <c r="C178" s="10">
        <f t="shared" si="46"/>
        <v>0.77915070680730503</v>
      </c>
      <c r="D178" s="12">
        <f t="shared" si="31"/>
        <v>2.248277387608336</v>
      </c>
      <c r="E178" s="10">
        <f t="shared" si="38"/>
        <v>0.68416940011977623</v>
      </c>
      <c r="F178" s="10">
        <f t="shared" si="39"/>
        <v>0.30430826902884051</v>
      </c>
      <c r="G178" s="2">
        <f t="shared" si="50"/>
        <v>0.87111153553023324</v>
      </c>
      <c r="H178" s="2">
        <f t="shared" si="51"/>
        <v>1.1307291559512489</v>
      </c>
      <c r="I178" s="7">
        <f t="shared" si="52"/>
        <v>0.98499121130949696</v>
      </c>
      <c r="J178" s="1"/>
    </row>
    <row r="179" spans="1:10" x14ac:dyDescent="0.25">
      <c r="A179" s="7">
        <v>0.99</v>
      </c>
      <c r="B179" s="2">
        <v>0.81793865197428917</v>
      </c>
      <c r="C179" s="10">
        <f t="shared" si="46"/>
        <v>0.7717901621056642</v>
      </c>
      <c r="D179" s="12">
        <f t="shared" si="31"/>
        <v>2.259935548758091</v>
      </c>
      <c r="E179" s="10">
        <f t="shared" si="38"/>
        <v>0.68767484906296927</v>
      </c>
      <c r="F179" s="10">
        <f t="shared" si="39"/>
        <v>0.30428958447105681</v>
      </c>
      <c r="G179" s="2">
        <f t="shared" si="50"/>
        <v>0.87557481174675678</v>
      </c>
      <c r="H179" s="2">
        <f t="shared" si="51"/>
        <v>1.1306857636505045</v>
      </c>
      <c r="I179" s="7">
        <f t="shared" si="52"/>
        <v>0.98999997465302847</v>
      </c>
      <c r="J179" s="1"/>
    </row>
    <row r="180" spans="1:10" x14ac:dyDescent="0.25">
      <c r="A180" s="7">
        <v>0.995</v>
      </c>
      <c r="B180" s="2">
        <v>0.82255320741765192</v>
      </c>
      <c r="C180" s="10">
        <f t="shared" si="46"/>
        <v>0.76409273883367113</v>
      </c>
      <c r="D180" s="12">
        <f t="shared" si="31"/>
        <v>2.2719533917875143</v>
      </c>
      <c r="E180" s="10">
        <f t="shared" si="38"/>
        <v>0.69121862978454796</v>
      </c>
      <c r="F180" s="10">
        <f t="shared" si="39"/>
        <v>0.30423979307106952</v>
      </c>
      <c r="G180" s="2">
        <f t="shared" si="50"/>
        <v>0.88008689349934088</v>
      </c>
      <c r="H180" s="2">
        <f t="shared" si="51"/>
        <v>1.1305701251325255</v>
      </c>
      <c r="I180" s="7">
        <f t="shared" si="52"/>
        <v>0.99499994931104552</v>
      </c>
      <c r="J180" s="1"/>
    </row>
    <row r="181" spans="1:10" x14ac:dyDescent="0.25">
      <c r="A181" s="7">
        <v>1</v>
      </c>
      <c r="B181" s="2">
        <v>0.82727445456882165</v>
      </c>
      <c r="C181" s="10">
        <f t="shared" si="46"/>
        <v>0.75601965949750338</v>
      </c>
      <c r="D181" s="12">
        <f t="shared" si="31"/>
        <v>2.2843766479471364</v>
      </c>
      <c r="E181" s="10">
        <f t="shared" si="38"/>
        <v>0.69480712283945989</v>
      </c>
      <c r="F181" s="10">
        <f t="shared" si="39"/>
        <v>0.30415611342545062</v>
      </c>
      <c r="G181" s="2">
        <f>SUM(E181/0.25)/PI()</f>
        <v>0.88465590476286216</v>
      </c>
      <c r="H181" s="2">
        <f>SUM((F181)/(0.25))^0.625</f>
        <v>1.1303757665437291</v>
      </c>
      <c r="I181" s="7">
        <f>SUM((F181/0.25)^0.625)*G181</f>
        <v>0.99999359647375652</v>
      </c>
      <c r="J18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Dippold &amp; Gerold Hidroprojekt 91 d.o.o.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Davor Štrbenac</dc:creator>
  <cp:lastModifiedBy>Davor Štrbenac</cp:lastModifiedBy>
  <dcterms:created xsi:type="dcterms:W3CDTF">2017-01-12T08:40:07Z</dcterms:created>
  <dcterms:modified xsi:type="dcterms:W3CDTF">2017-01-20T15:08:13Z</dcterms:modified>
</cp:coreProperties>
</file>